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ro\Desktop\GCSTRUCTFLOW\ISOLATED_FOOTINGS\tests\out\"/>
    </mc:Choice>
  </mc:AlternateContent>
  <xr:revisionPtr revIDLastSave="0" documentId="13_ncr:1_{A7E0D31B-F006-4A7B-8C98-55B743755F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melle S1" sheetId="1" r:id="rId1"/>
    <sheet name="Semelle S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9" i="2" l="1"/>
  <c r="K309" i="2" s="1"/>
  <c r="I307" i="2"/>
  <c r="I268" i="2"/>
  <c r="K268" i="2" s="1"/>
  <c r="I266" i="2"/>
  <c r="H229" i="2"/>
  <c r="G229" i="2"/>
  <c r="I229" i="2" s="1"/>
  <c r="H228" i="2"/>
  <c r="G228" i="2"/>
  <c r="H227" i="2"/>
  <c r="G227" i="2"/>
  <c r="I227" i="2" s="1"/>
  <c r="H226" i="2"/>
  <c r="G226" i="2"/>
  <c r="I226" i="2" s="1"/>
  <c r="H225" i="2"/>
  <c r="G225" i="2"/>
  <c r="I225" i="2" s="1"/>
  <c r="H224" i="2"/>
  <c r="G224" i="2"/>
  <c r="I224" i="2" s="1"/>
  <c r="H223" i="2"/>
  <c r="G223" i="2"/>
  <c r="I223" i="2" s="1"/>
  <c r="H222" i="2"/>
  <c r="I222" i="2" s="1"/>
  <c r="G222" i="2"/>
  <c r="H221" i="2"/>
  <c r="G221" i="2"/>
  <c r="H220" i="2"/>
  <c r="G220" i="2"/>
  <c r="H219" i="2"/>
  <c r="G219" i="2"/>
  <c r="I219" i="2" s="1"/>
  <c r="H218" i="2"/>
  <c r="G218" i="2"/>
  <c r="I218" i="2" s="1"/>
  <c r="H217" i="2"/>
  <c r="G217" i="2"/>
  <c r="I217" i="2" s="1"/>
  <c r="H216" i="2"/>
  <c r="G216" i="2"/>
  <c r="I216" i="2" s="1"/>
  <c r="I215" i="2"/>
  <c r="H215" i="2"/>
  <c r="G215" i="2"/>
  <c r="H214" i="2"/>
  <c r="G214" i="2"/>
  <c r="I214" i="2" s="1"/>
  <c r="H213" i="2"/>
  <c r="G213" i="2"/>
  <c r="I213" i="2" s="1"/>
  <c r="E208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H81" i="2"/>
  <c r="I77" i="2"/>
  <c r="I74" i="2"/>
  <c r="H74" i="2"/>
  <c r="H71" i="2"/>
  <c r="I68" i="2"/>
  <c r="H65" i="2"/>
  <c r="J56" i="2"/>
  <c r="J54" i="2"/>
  <c r="H23" i="2"/>
  <c r="H17" i="2" s="1"/>
  <c r="B23" i="2"/>
  <c r="D23" i="2" s="1"/>
  <c r="G23" i="2" s="1"/>
  <c r="F17" i="2" s="1"/>
  <c r="F19" i="2" s="1"/>
  <c r="J18" i="2"/>
  <c r="H18" i="2"/>
  <c r="J17" i="2"/>
  <c r="F13" i="2"/>
  <c r="I81" i="2" s="1"/>
  <c r="E13" i="2"/>
  <c r="J55" i="2" s="1"/>
  <c r="E226" i="2" s="1"/>
  <c r="F226" i="2" s="1"/>
  <c r="J10" i="2"/>
  <c r="I10" i="2"/>
  <c r="H10" i="2"/>
  <c r="F10" i="2"/>
  <c r="E10" i="2"/>
  <c r="D7" i="2"/>
  <c r="I309" i="1"/>
  <c r="K309" i="1" s="1"/>
  <c r="I307" i="1"/>
  <c r="I269" i="1"/>
  <c r="K269" i="1" s="1"/>
  <c r="I267" i="1"/>
  <c r="H230" i="1"/>
  <c r="G230" i="1"/>
  <c r="I230" i="1" s="1"/>
  <c r="H229" i="1"/>
  <c r="G229" i="1"/>
  <c r="I229" i="1" s="1"/>
  <c r="H228" i="1"/>
  <c r="G228" i="1"/>
  <c r="I228" i="1" s="1"/>
  <c r="H227" i="1"/>
  <c r="G227" i="1"/>
  <c r="I227" i="1" s="1"/>
  <c r="H226" i="1"/>
  <c r="G226" i="1"/>
  <c r="I226" i="1" s="1"/>
  <c r="H225" i="1"/>
  <c r="G225" i="1"/>
  <c r="I225" i="1" s="1"/>
  <c r="H224" i="1"/>
  <c r="G224" i="1"/>
  <c r="H223" i="1"/>
  <c r="G223" i="1"/>
  <c r="H222" i="1"/>
  <c r="G222" i="1"/>
  <c r="I222" i="1" s="1"/>
  <c r="H221" i="1"/>
  <c r="G221" i="1"/>
  <c r="H220" i="1"/>
  <c r="G220" i="1"/>
  <c r="H219" i="1"/>
  <c r="I219" i="1" s="1"/>
  <c r="G219" i="1"/>
  <c r="I218" i="1"/>
  <c r="H218" i="1"/>
  <c r="G218" i="1"/>
  <c r="I217" i="1"/>
  <c r="H217" i="1"/>
  <c r="G217" i="1"/>
  <c r="H216" i="1"/>
  <c r="G216" i="1"/>
  <c r="H215" i="1"/>
  <c r="G215" i="1"/>
  <c r="E210" i="1"/>
  <c r="E209" i="1"/>
  <c r="E208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86" i="1"/>
  <c r="I85" i="1"/>
  <c r="I83" i="1"/>
  <c r="I81" i="1"/>
  <c r="I80" i="1"/>
  <c r="H78" i="1"/>
  <c r="I76" i="1"/>
  <c r="H75" i="1"/>
  <c r="H73" i="1"/>
  <c r="I70" i="1"/>
  <c r="I69" i="1"/>
  <c r="I67" i="1"/>
  <c r="I65" i="1"/>
  <c r="I64" i="1"/>
  <c r="J56" i="1"/>
  <c r="J54" i="1"/>
  <c r="H23" i="1"/>
  <c r="J17" i="1" s="1"/>
  <c r="J19" i="1" s="1"/>
  <c r="B23" i="1"/>
  <c r="D23" i="1" s="1"/>
  <c r="J18" i="1"/>
  <c r="H18" i="1"/>
  <c r="F13" i="1"/>
  <c r="H84" i="1" s="1"/>
  <c r="E13" i="1"/>
  <c r="J55" i="1" s="1"/>
  <c r="J10" i="1"/>
  <c r="I10" i="1"/>
  <c r="H10" i="1"/>
  <c r="F10" i="1"/>
  <c r="E10" i="1"/>
  <c r="D7" i="1"/>
  <c r="E230" i="1" l="1"/>
  <c r="F230" i="1" s="1"/>
  <c r="E215" i="1"/>
  <c r="F215" i="1" s="1"/>
  <c r="E220" i="1"/>
  <c r="F220" i="1" s="1"/>
  <c r="J23" i="1"/>
  <c r="G17" i="1" s="1"/>
  <c r="G19" i="1" s="1"/>
  <c r="H66" i="1"/>
  <c r="H72" i="1"/>
  <c r="H77" i="1"/>
  <c r="H82" i="1"/>
  <c r="I223" i="1"/>
  <c r="E223" i="2"/>
  <c r="F223" i="2" s="1"/>
  <c r="J57" i="1"/>
  <c r="H67" i="1"/>
  <c r="I72" i="1"/>
  <c r="I77" i="1"/>
  <c r="H83" i="1"/>
  <c r="I220" i="1"/>
  <c r="J220" i="1" s="1"/>
  <c r="I224" i="1"/>
  <c r="I220" i="2"/>
  <c r="H17" i="1"/>
  <c r="I68" i="1"/>
  <c r="I73" i="1"/>
  <c r="I78" i="1"/>
  <c r="I84" i="1"/>
  <c r="H19" i="2"/>
  <c r="H64" i="1"/>
  <c r="H69" i="1"/>
  <c r="H74" i="1"/>
  <c r="H80" i="1"/>
  <c r="H85" i="1"/>
  <c r="I215" i="1"/>
  <c r="J23" i="2"/>
  <c r="G17" i="2" s="1"/>
  <c r="G19" i="2" s="1"/>
  <c r="I221" i="2"/>
  <c r="J57" i="2"/>
  <c r="H65" i="1"/>
  <c r="H70" i="1"/>
  <c r="I75" i="1"/>
  <c r="H81" i="1"/>
  <c r="H86" i="1"/>
  <c r="I216" i="1"/>
  <c r="I84" i="2"/>
  <c r="I228" i="2"/>
  <c r="E197" i="1"/>
  <c r="E189" i="1"/>
  <c r="E181" i="1"/>
  <c r="E198" i="1"/>
  <c r="E190" i="1"/>
  <c r="E182" i="1"/>
  <c r="E199" i="1"/>
  <c r="E191" i="1"/>
  <c r="E183" i="1"/>
  <c r="G209" i="1"/>
  <c r="I209" i="1" s="1"/>
  <c r="K209" i="1" s="1"/>
  <c r="E200" i="1"/>
  <c r="E192" i="1"/>
  <c r="E201" i="1"/>
  <c r="E193" i="1"/>
  <c r="E185" i="1"/>
  <c r="G208" i="1"/>
  <c r="I208" i="1" s="1"/>
  <c r="K208" i="1" s="1"/>
  <c r="E195" i="1"/>
  <c r="G210" i="1"/>
  <c r="I210" i="1" s="1"/>
  <c r="K210" i="1" s="1"/>
  <c r="F171" i="1"/>
  <c r="F166" i="1"/>
  <c r="F163" i="1"/>
  <c r="F158" i="1"/>
  <c r="F155" i="1"/>
  <c r="F150" i="1"/>
  <c r="F81" i="1"/>
  <c r="F73" i="1"/>
  <c r="F65" i="1"/>
  <c r="E187" i="1"/>
  <c r="E179" i="1"/>
  <c r="F76" i="1"/>
  <c r="F68" i="1"/>
  <c r="F168" i="1"/>
  <c r="F152" i="1"/>
  <c r="F63" i="1"/>
  <c r="E194" i="1"/>
  <c r="F84" i="1"/>
  <c r="F79" i="1"/>
  <c r="F165" i="1"/>
  <c r="F160" i="1"/>
  <c r="F157" i="1"/>
  <c r="F71" i="1"/>
  <c r="E184" i="1"/>
  <c r="F173" i="1"/>
  <c r="E186" i="1"/>
  <c r="F170" i="1"/>
  <c r="F167" i="1"/>
  <c r="F162" i="1"/>
  <c r="F159" i="1"/>
  <c r="F154" i="1"/>
  <c r="F151" i="1"/>
  <c r="F85" i="1"/>
  <c r="E188" i="1"/>
  <c r="F172" i="1"/>
  <c r="F169" i="1"/>
  <c r="F164" i="1"/>
  <c r="F161" i="1"/>
  <c r="F156" i="1"/>
  <c r="F153" i="1"/>
  <c r="E196" i="1"/>
  <c r="F75" i="1"/>
  <c r="F82" i="1"/>
  <c r="F70" i="1"/>
  <c r="F77" i="1"/>
  <c r="F67" i="1"/>
  <c r="E202" i="1"/>
  <c r="E180" i="1"/>
  <c r="F72" i="1"/>
  <c r="F74" i="1"/>
  <c r="F86" i="1"/>
  <c r="F64" i="1"/>
  <c r="F80" i="1"/>
  <c r="F69" i="1"/>
  <c r="F83" i="1"/>
  <c r="F78" i="1"/>
  <c r="F66" i="1"/>
  <c r="G23" i="1"/>
  <c r="F17" i="1" s="1"/>
  <c r="F19" i="1" s="1"/>
  <c r="F23" i="1"/>
  <c r="E17" i="1" s="1"/>
  <c r="E19" i="1" s="1"/>
  <c r="K220" i="1"/>
  <c r="J230" i="1"/>
  <c r="K230" i="1"/>
  <c r="I263" i="1"/>
  <c r="C299" i="1"/>
  <c r="C291" i="1"/>
  <c r="C297" i="1"/>
  <c r="C282" i="1"/>
  <c r="C259" i="1"/>
  <c r="C251" i="1"/>
  <c r="C281" i="1"/>
  <c r="C258" i="1"/>
  <c r="C250" i="1"/>
  <c r="C242" i="1"/>
  <c r="E225" i="1"/>
  <c r="F225" i="1" s="1"/>
  <c r="E217" i="1"/>
  <c r="F217" i="1" s="1"/>
  <c r="C290" i="1"/>
  <c r="C289" i="1"/>
  <c r="C288" i="1"/>
  <c r="C280" i="1"/>
  <c r="C257" i="1"/>
  <c r="C296" i="1"/>
  <c r="C295" i="1"/>
  <c r="C294" i="1"/>
  <c r="C293" i="1"/>
  <c r="C292" i="1"/>
  <c r="C287" i="1"/>
  <c r="C279" i="1"/>
  <c r="C256" i="1"/>
  <c r="C248" i="1"/>
  <c r="C286" i="1"/>
  <c r="C278" i="1"/>
  <c r="C298" i="1"/>
  <c r="C284" i="1"/>
  <c r="C254" i="1"/>
  <c r="C243" i="1"/>
  <c r="E222" i="1"/>
  <c r="F222" i="1" s="1"/>
  <c r="C283" i="1"/>
  <c r="C276" i="1"/>
  <c r="C244" i="1"/>
  <c r="E227" i="1"/>
  <c r="F227" i="1" s="1"/>
  <c r="E228" i="1"/>
  <c r="F228" i="1" s="1"/>
  <c r="E223" i="1"/>
  <c r="F223" i="1" s="1"/>
  <c r="E218" i="1"/>
  <c r="F218" i="1" s="1"/>
  <c r="C255" i="1"/>
  <c r="C245" i="1"/>
  <c r="E229" i="1"/>
  <c r="F229" i="1" s="1"/>
  <c r="C285" i="1"/>
  <c r="C252" i="1"/>
  <c r="C249" i="1"/>
  <c r="E224" i="1"/>
  <c r="F224" i="1" s="1"/>
  <c r="E219" i="1"/>
  <c r="F219" i="1" s="1"/>
  <c r="C277" i="1"/>
  <c r="C253" i="1"/>
  <c r="E221" i="1"/>
  <c r="F221" i="1" s="1"/>
  <c r="C247" i="1"/>
  <c r="C238" i="1"/>
  <c r="C246" i="1"/>
  <c r="C241" i="1"/>
  <c r="C237" i="1"/>
  <c r="C240" i="1"/>
  <c r="C236" i="1"/>
  <c r="E226" i="1"/>
  <c r="F226" i="1" s="1"/>
  <c r="E216" i="1"/>
  <c r="F216" i="1" s="1"/>
  <c r="C239" i="1"/>
  <c r="H19" i="1"/>
  <c r="K215" i="1"/>
  <c r="J215" i="1"/>
  <c r="I303" i="1"/>
  <c r="H63" i="1"/>
  <c r="I66" i="1"/>
  <c r="I74" i="1"/>
  <c r="H71" i="1"/>
  <c r="H79" i="1"/>
  <c r="I82" i="1"/>
  <c r="I63" i="1"/>
  <c r="H68" i="1"/>
  <c r="I71" i="1"/>
  <c r="H76" i="1"/>
  <c r="I79" i="1"/>
  <c r="E310" i="1"/>
  <c r="I308" i="1"/>
  <c r="K226" i="2"/>
  <c r="J226" i="2"/>
  <c r="E199" i="2"/>
  <c r="E191" i="2"/>
  <c r="E183" i="2"/>
  <c r="E200" i="2"/>
  <c r="E192" i="2"/>
  <c r="E184" i="2"/>
  <c r="E201" i="2"/>
  <c r="E193" i="2"/>
  <c r="E185" i="2"/>
  <c r="G208" i="2"/>
  <c r="I208" i="2" s="1"/>
  <c r="K208" i="2" s="1"/>
  <c r="E195" i="2"/>
  <c r="E187" i="2"/>
  <c r="E179" i="2"/>
  <c r="E196" i="2"/>
  <c r="E188" i="2"/>
  <c r="E180" i="2"/>
  <c r="E202" i="2"/>
  <c r="E190" i="2"/>
  <c r="E197" i="2"/>
  <c r="E194" i="2"/>
  <c r="E182" i="2"/>
  <c r="F172" i="2"/>
  <c r="F170" i="2"/>
  <c r="F168" i="2"/>
  <c r="F166" i="2"/>
  <c r="F164" i="2"/>
  <c r="F162" i="2"/>
  <c r="F160" i="2"/>
  <c r="F158" i="2"/>
  <c r="F156" i="2"/>
  <c r="F154" i="2"/>
  <c r="F152" i="2"/>
  <c r="F150" i="2"/>
  <c r="E189" i="2"/>
  <c r="E186" i="2"/>
  <c r="F82" i="2"/>
  <c r="F74" i="2"/>
  <c r="F66" i="2"/>
  <c r="F85" i="2"/>
  <c r="F77" i="2"/>
  <c r="F69" i="2"/>
  <c r="F171" i="2"/>
  <c r="F167" i="2"/>
  <c r="F163" i="2"/>
  <c r="F159" i="2"/>
  <c r="F155" i="2"/>
  <c r="F80" i="2"/>
  <c r="F72" i="2"/>
  <c r="F64" i="2"/>
  <c r="E181" i="2"/>
  <c r="F81" i="2"/>
  <c r="F73" i="2"/>
  <c r="F65" i="2"/>
  <c r="F151" i="2"/>
  <c r="F83" i="2"/>
  <c r="F67" i="2"/>
  <c r="F173" i="2"/>
  <c r="F165" i="2"/>
  <c r="F157" i="2"/>
  <c r="F86" i="2"/>
  <c r="F70" i="2"/>
  <c r="E198" i="2"/>
  <c r="F76" i="2"/>
  <c r="F79" i="2"/>
  <c r="F63" i="2"/>
  <c r="F75" i="2"/>
  <c r="F153" i="2"/>
  <c r="F84" i="2"/>
  <c r="F68" i="2"/>
  <c r="I221" i="1"/>
  <c r="K223" i="2"/>
  <c r="J223" i="2"/>
  <c r="F161" i="2"/>
  <c r="F78" i="2"/>
  <c r="F71" i="2"/>
  <c r="F169" i="2"/>
  <c r="I303" i="2"/>
  <c r="J19" i="2"/>
  <c r="C293" i="2"/>
  <c r="C285" i="2"/>
  <c r="C277" i="2"/>
  <c r="C253" i="2"/>
  <c r="C245" i="2"/>
  <c r="C237" i="2"/>
  <c r="E228" i="2"/>
  <c r="F228" i="2" s="1"/>
  <c r="E220" i="2"/>
  <c r="F220" i="2" s="1"/>
  <c r="C292" i="2"/>
  <c r="C284" i="2"/>
  <c r="C276" i="2"/>
  <c r="C252" i="2"/>
  <c r="C244" i="2"/>
  <c r="C236" i="2"/>
  <c r="E229" i="2"/>
  <c r="F229" i="2" s="1"/>
  <c r="E221" i="2"/>
  <c r="F221" i="2" s="1"/>
  <c r="E213" i="2"/>
  <c r="F213" i="2" s="1"/>
  <c r="C299" i="2"/>
  <c r="C291" i="2"/>
  <c r="C283" i="2"/>
  <c r="C251" i="2"/>
  <c r="C243" i="2"/>
  <c r="C235" i="2"/>
  <c r="E222" i="2"/>
  <c r="F222" i="2" s="1"/>
  <c r="E214" i="2"/>
  <c r="F214" i="2" s="1"/>
  <c r="C297" i="2"/>
  <c r="C289" i="2"/>
  <c r="C281" i="2"/>
  <c r="C257" i="2"/>
  <c r="C249" i="2"/>
  <c r="C241" i="2"/>
  <c r="E224" i="2"/>
  <c r="F224" i="2" s="1"/>
  <c r="E216" i="2"/>
  <c r="F216" i="2" s="1"/>
  <c r="C296" i="2"/>
  <c r="C288" i="2"/>
  <c r="C280" i="2"/>
  <c r="C256" i="2"/>
  <c r="C248" i="2"/>
  <c r="C240" i="2"/>
  <c r="E225" i="2"/>
  <c r="F225" i="2" s="1"/>
  <c r="E217" i="2"/>
  <c r="F217" i="2" s="1"/>
  <c r="C247" i="2"/>
  <c r="C298" i="2"/>
  <c r="C279" i="2"/>
  <c r="C254" i="2"/>
  <c r="C242" i="2"/>
  <c r="C286" i="2"/>
  <c r="C295" i="2"/>
  <c r="C258" i="2"/>
  <c r="C239" i="2"/>
  <c r="C290" i="2"/>
  <c r="C246" i="2"/>
  <c r="E227" i="2"/>
  <c r="F227" i="2" s="1"/>
  <c r="E219" i="2"/>
  <c r="F219" i="2" s="1"/>
  <c r="C282" i="2"/>
  <c r="C294" i="2"/>
  <c r="C287" i="2"/>
  <c r="E218" i="2"/>
  <c r="F218" i="2" s="1"/>
  <c r="C250" i="2"/>
  <c r="C238" i="2"/>
  <c r="I65" i="2"/>
  <c r="H78" i="2"/>
  <c r="E215" i="2"/>
  <c r="F215" i="2" s="1"/>
  <c r="C278" i="2"/>
  <c r="I268" i="1"/>
  <c r="H85" i="2"/>
  <c r="I80" i="2"/>
  <c r="H77" i="2"/>
  <c r="I72" i="2"/>
  <c r="H69" i="2"/>
  <c r="I64" i="2"/>
  <c r="I83" i="2"/>
  <c r="H80" i="2"/>
  <c r="I75" i="2"/>
  <c r="H72" i="2"/>
  <c r="I67" i="2"/>
  <c r="H64" i="2"/>
  <c r="I86" i="2"/>
  <c r="H83" i="2"/>
  <c r="I78" i="2"/>
  <c r="H75" i="2"/>
  <c r="I70" i="2"/>
  <c r="H67" i="2"/>
  <c r="H84" i="2"/>
  <c r="I79" i="2"/>
  <c r="H76" i="2"/>
  <c r="I71" i="2"/>
  <c r="H68" i="2"/>
  <c r="I63" i="2"/>
  <c r="H66" i="2"/>
  <c r="I69" i="2"/>
  <c r="H82" i="2"/>
  <c r="I85" i="2"/>
  <c r="C255" i="2"/>
  <c r="H63" i="2"/>
  <c r="I66" i="2"/>
  <c r="H79" i="2"/>
  <c r="I82" i="2"/>
  <c r="F23" i="2"/>
  <c r="E17" i="2" s="1"/>
  <c r="E19" i="2" s="1"/>
  <c r="H73" i="2"/>
  <c r="I76" i="2"/>
  <c r="H70" i="2"/>
  <c r="I73" i="2"/>
  <c r="H86" i="2"/>
  <c r="E269" i="2"/>
  <c r="I267" i="2"/>
  <c r="I262" i="2"/>
  <c r="I308" i="2"/>
  <c r="D239" i="1" l="1"/>
  <c r="E239" i="1"/>
  <c r="D238" i="1"/>
  <c r="E238" i="1"/>
  <c r="D252" i="1"/>
  <c r="E252" i="1" s="1"/>
  <c r="D298" i="1"/>
  <c r="E298" i="1" s="1"/>
  <c r="D290" i="1"/>
  <c r="E290" i="1" s="1"/>
  <c r="D259" i="1"/>
  <c r="E259" i="1" s="1"/>
  <c r="G280" i="1"/>
  <c r="G240" i="1"/>
  <c r="H240" i="1" s="1"/>
  <c r="C125" i="1"/>
  <c r="K67" i="1"/>
  <c r="D125" i="1" s="1"/>
  <c r="F280" i="1"/>
  <c r="F240" i="1"/>
  <c r="E96" i="1"/>
  <c r="J67" i="1"/>
  <c r="D96" i="1" s="1"/>
  <c r="C96" i="1"/>
  <c r="E125" i="1"/>
  <c r="H159" i="1"/>
  <c r="I159" i="1"/>
  <c r="H157" i="1"/>
  <c r="I157" i="1"/>
  <c r="I168" i="1"/>
  <c r="H168" i="1"/>
  <c r="I150" i="1"/>
  <c r="H150" i="1"/>
  <c r="K150" i="1" s="1"/>
  <c r="G191" i="1"/>
  <c r="F191" i="1"/>
  <c r="H191" i="1" s="1"/>
  <c r="I191" i="1" s="1"/>
  <c r="K191" i="1" s="1"/>
  <c r="D255" i="2"/>
  <c r="E255" i="2" s="1"/>
  <c r="D242" i="2"/>
  <c r="E242" i="2" s="1"/>
  <c r="D249" i="2"/>
  <c r="E249" i="2" s="1"/>
  <c r="G297" i="2"/>
  <c r="F297" i="2"/>
  <c r="H297" i="2" s="1"/>
  <c r="G256" i="2"/>
  <c r="H256" i="2" s="1"/>
  <c r="F256" i="2"/>
  <c r="C113" i="2"/>
  <c r="K84" i="2"/>
  <c r="D142" i="2" s="1"/>
  <c r="E142" i="2"/>
  <c r="C142" i="2"/>
  <c r="J84" i="2"/>
  <c r="D113" i="2" s="1"/>
  <c r="E113" i="2"/>
  <c r="F286" i="2"/>
  <c r="H286" i="2" s="1"/>
  <c r="G245" i="2"/>
  <c r="F245" i="2"/>
  <c r="G286" i="2"/>
  <c r="C131" i="2"/>
  <c r="C102" i="2"/>
  <c r="K73" i="2"/>
  <c r="D131" i="2" s="1"/>
  <c r="J73" i="2"/>
  <c r="D102" i="2" s="1"/>
  <c r="E131" i="2"/>
  <c r="G295" i="2"/>
  <c r="H295" i="2" s="1"/>
  <c r="F254" i="2"/>
  <c r="F295" i="2"/>
  <c r="G254" i="2"/>
  <c r="C111" i="2"/>
  <c r="G140" i="2"/>
  <c r="F140" i="2"/>
  <c r="C140" i="2"/>
  <c r="J82" i="2"/>
  <c r="D111" i="2" s="1"/>
  <c r="K82" i="2"/>
  <c r="D140" i="2" s="1"/>
  <c r="E140" i="2"/>
  <c r="G194" i="2"/>
  <c r="F194" i="2"/>
  <c r="H194" i="2" s="1"/>
  <c r="I194" i="2" s="1"/>
  <c r="K194" i="2" s="1"/>
  <c r="G187" i="2"/>
  <c r="F187" i="2"/>
  <c r="H187" i="2" s="1"/>
  <c r="I187" i="2" s="1"/>
  <c r="K187" i="2" s="1"/>
  <c r="K216" i="1"/>
  <c r="J216" i="1"/>
  <c r="K217" i="1"/>
  <c r="J217" i="1"/>
  <c r="F293" i="1"/>
  <c r="F253" i="1"/>
  <c r="G253" i="1" s="1"/>
  <c r="H253" i="1" s="1"/>
  <c r="G293" i="1"/>
  <c r="H293" i="1" s="1"/>
  <c r="J80" i="1"/>
  <c r="D109" i="1" s="1"/>
  <c r="C138" i="1"/>
  <c r="C109" i="1"/>
  <c r="K80" i="1"/>
  <c r="D138" i="1" s="1"/>
  <c r="E109" i="1"/>
  <c r="I164" i="1"/>
  <c r="H164" i="1"/>
  <c r="K164" i="1" s="1"/>
  <c r="I160" i="1"/>
  <c r="H160" i="1"/>
  <c r="K160" i="1" s="1"/>
  <c r="H155" i="1"/>
  <c r="I155" i="1"/>
  <c r="G199" i="1"/>
  <c r="F199" i="1"/>
  <c r="H199" i="1" s="1"/>
  <c r="I199" i="1" s="1"/>
  <c r="K199" i="1" s="1"/>
  <c r="K227" i="2"/>
  <c r="J227" i="2"/>
  <c r="D254" i="2"/>
  <c r="E254" i="2" s="1"/>
  <c r="D256" i="2"/>
  <c r="E256" i="2" s="1"/>
  <c r="E257" i="2"/>
  <c r="D257" i="2"/>
  <c r="D251" i="2"/>
  <c r="E251" i="2" s="1"/>
  <c r="D244" i="2"/>
  <c r="E244" i="2" s="1"/>
  <c r="D245" i="2"/>
  <c r="E245" i="2" s="1"/>
  <c r="F250" i="2"/>
  <c r="F291" i="2"/>
  <c r="K78" i="2"/>
  <c r="D136" i="2" s="1"/>
  <c r="J78" i="2"/>
  <c r="D107" i="2" s="1"/>
  <c r="G136" i="2"/>
  <c r="C107" i="2"/>
  <c r="C136" i="2"/>
  <c r="G291" i="2"/>
  <c r="G250" i="2"/>
  <c r="I153" i="2"/>
  <c r="H153" i="2"/>
  <c r="H157" i="2"/>
  <c r="I157" i="2"/>
  <c r="H294" i="2"/>
  <c r="F294" i="2"/>
  <c r="G253" i="2"/>
  <c r="H253" i="2" s="1"/>
  <c r="F253" i="2"/>
  <c r="C139" i="2"/>
  <c r="C110" i="2"/>
  <c r="G294" i="2"/>
  <c r="G139" i="2"/>
  <c r="K81" i="2"/>
  <c r="D139" i="2" s="1"/>
  <c r="J81" i="2"/>
  <c r="D110" i="2" s="1"/>
  <c r="I167" i="2"/>
  <c r="H167" i="2"/>
  <c r="G186" i="2"/>
  <c r="F186" i="2"/>
  <c r="I162" i="2"/>
  <c r="H162" i="2"/>
  <c r="G197" i="2"/>
  <c r="F197" i="2"/>
  <c r="H197" i="2" s="1"/>
  <c r="I197" i="2" s="1"/>
  <c r="K197" i="2" s="1"/>
  <c r="G195" i="2"/>
  <c r="F195" i="2"/>
  <c r="F183" i="2"/>
  <c r="G183" i="2"/>
  <c r="K226" i="1"/>
  <c r="J226" i="1"/>
  <c r="K221" i="1"/>
  <c r="J221" i="1"/>
  <c r="K229" i="1"/>
  <c r="J229" i="1"/>
  <c r="D276" i="1"/>
  <c r="E276" i="1" s="1"/>
  <c r="D286" i="1"/>
  <c r="E286" i="1" s="1"/>
  <c r="D295" i="1"/>
  <c r="E295" i="1" s="1"/>
  <c r="K225" i="1"/>
  <c r="J225" i="1"/>
  <c r="D297" i="1"/>
  <c r="E297" i="1" s="1"/>
  <c r="G277" i="1"/>
  <c r="F277" i="1"/>
  <c r="G237" i="1"/>
  <c r="H237" i="1" s="1"/>
  <c r="F237" i="1"/>
  <c r="E122" i="1"/>
  <c r="K64" i="1"/>
  <c r="D122" i="1" s="1"/>
  <c r="C122" i="1"/>
  <c r="C93" i="1"/>
  <c r="J64" i="1"/>
  <c r="D93" i="1" s="1"/>
  <c r="G122" i="1"/>
  <c r="G283" i="1"/>
  <c r="F283" i="1"/>
  <c r="C128" i="1"/>
  <c r="G243" i="1"/>
  <c r="H243" i="1" s="1"/>
  <c r="C99" i="1"/>
  <c r="F243" i="1"/>
  <c r="K70" i="1"/>
  <c r="D128" i="1" s="1"/>
  <c r="J70" i="1"/>
  <c r="D99" i="1" s="1"/>
  <c r="H169" i="1"/>
  <c r="I169" i="1"/>
  <c r="H167" i="1"/>
  <c r="I167" i="1"/>
  <c r="H165" i="1"/>
  <c r="I165" i="1"/>
  <c r="F289" i="1"/>
  <c r="E134" i="1"/>
  <c r="G249" i="1"/>
  <c r="C134" i="1"/>
  <c r="G289" i="1"/>
  <c r="F249" i="1"/>
  <c r="J76" i="1"/>
  <c r="D105" i="1" s="1"/>
  <c r="C105" i="1"/>
  <c r="K76" i="1"/>
  <c r="D134" i="1" s="1"/>
  <c r="I158" i="1"/>
  <c r="H158" i="1"/>
  <c r="G193" i="1"/>
  <c r="F193" i="1"/>
  <c r="F182" i="1"/>
  <c r="G182" i="1"/>
  <c r="K215" i="2"/>
  <c r="J215" i="2"/>
  <c r="J229" i="2"/>
  <c r="K229" i="2"/>
  <c r="H169" i="2"/>
  <c r="I169" i="2"/>
  <c r="G281" i="2"/>
  <c r="F281" i="2"/>
  <c r="G240" i="2"/>
  <c r="H240" i="2" s="1"/>
  <c r="F240" i="2"/>
  <c r="C126" i="2"/>
  <c r="C97" i="2"/>
  <c r="K68" i="2"/>
  <c r="D126" i="2" s="1"/>
  <c r="J68" i="2"/>
  <c r="D97" i="2" s="1"/>
  <c r="F242" i="2"/>
  <c r="H283" i="2"/>
  <c r="G242" i="2"/>
  <c r="G283" i="2"/>
  <c r="F283" i="2"/>
  <c r="C99" i="2"/>
  <c r="K70" i="2"/>
  <c r="D128" i="2" s="1"/>
  <c r="J70" i="2"/>
  <c r="D99" i="2" s="1"/>
  <c r="C128" i="2"/>
  <c r="G99" i="2"/>
  <c r="F278" i="2"/>
  <c r="G278" i="2" s="1"/>
  <c r="H278" i="2" s="1"/>
  <c r="G237" i="2"/>
  <c r="F237" i="2"/>
  <c r="C123" i="2"/>
  <c r="K65" i="2"/>
  <c r="D123" i="2" s="1"/>
  <c r="J65" i="2"/>
  <c r="D94" i="2" s="1"/>
  <c r="C94" i="2"/>
  <c r="I159" i="2"/>
  <c r="H159" i="2"/>
  <c r="K159" i="2" s="1"/>
  <c r="G287" i="2"/>
  <c r="H287" i="2" s="1"/>
  <c r="F246" i="2"/>
  <c r="G246" i="2"/>
  <c r="H246" i="2" s="1"/>
  <c r="F287" i="2"/>
  <c r="C132" i="2"/>
  <c r="C103" i="2"/>
  <c r="F132" i="2"/>
  <c r="J74" i="2"/>
  <c r="D103" i="2" s="1"/>
  <c r="G103" i="2"/>
  <c r="K74" i="2"/>
  <c r="D132" i="2" s="1"/>
  <c r="E103" i="2"/>
  <c r="I158" i="2"/>
  <c r="H158" i="2"/>
  <c r="G182" i="2"/>
  <c r="F182" i="2"/>
  <c r="G179" i="2"/>
  <c r="F179" i="2"/>
  <c r="F192" i="2"/>
  <c r="G192" i="2"/>
  <c r="K227" i="1"/>
  <c r="J227" i="1"/>
  <c r="D293" i="1"/>
  <c r="E293" i="1" s="1"/>
  <c r="G282" i="1"/>
  <c r="F282" i="1"/>
  <c r="H282" i="1" s="1"/>
  <c r="G242" i="1"/>
  <c r="K69" i="1"/>
  <c r="D127" i="1" s="1"/>
  <c r="C127" i="1"/>
  <c r="J69" i="1"/>
  <c r="D98" i="1" s="1"/>
  <c r="C98" i="1"/>
  <c r="F242" i="1"/>
  <c r="H161" i="1"/>
  <c r="I161" i="1"/>
  <c r="K219" i="2"/>
  <c r="J219" i="2"/>
  <c r="D248" i="2"/>
  <c r="E248" i="2" s="1"/>
  <c r="D243" i="2"/>
  <c r="E243" i="2" s="1"/>
  <c r="D236" i="2"/>
  <c r="E236" i="2" s="1"/>
  <c r="D237" i="2"/>
  <c r="E237" i="2" s="1"/>
  <c r="G284" i="2"/>
  <c r="H284" i="2" s="1"/>
  <c r="G243" i="2"/>
  <c r="F129" i="2"/>
  <c r="F284" i="2"/>
  <c r="F243" i="2"/>
  <c r="C129" i="2"/>
  <c r="K71" i="2"/>
  <c r="D129" i="2" s="1"/>
  <c r="C100" i="2"/>
  <c r="J71" i="2"/>
  <c r="D100" i="2" s="1"/>
  <c r="F258" i="2"/>
  <c r="E115" i="2"/>
  <c r="G258" i="2"/>
  <c r="G299" i="2"/>
  <c r="K86" i="2"/>
  <c r="D144" i="2" s="1"/>
  <c r="F299" i="2"/>
  <c r="J86" i="2"/>
  <c r="D115" i="2" s="1"/>
  <c r="C115" i="2"/>
  <c r="C144" i="2"/>
  <c r="I163" i="2"/>
  <c r="H163" i="2"/>
  <c r="I160" i="2"/>
  <c r="H160" i="2"/>
  <c r="F200" i="2"/>
  <c r="H200" i="2" s="1"/>
  <c r="I200" i="2" s="1"/>
  <c r="K200" i="2" s="1"/>
  <c r="G200" i="2"/>
  <c r="D247" i="1"/>
  <c r="E247" i="1" s="1"/>
  <c r="E285" i="1"/>
  <c r="D285" i="1"/>
  <c r="D244" i="1"/>
  <c r="E244" i="1" s="1"/>
  <c r="E278" i="1"/>
  <c r="D278" i="1"/>
  <c r="D294" i="1"/>
  <c r="E294" i="1" s="1"/>
  <c r="E282" i="1"/>
  <c r="D282" i="1"/>
  <c r="F290" i="1"/>
  <c r="G290" i="1"/>
  <c r="G250" i="1"/>
  <c r="H250" i="1" s="1"/>
  <c r="K77" i="1"/>
  <c r="D135" i="1" s="1"/>
  <c r="J77" i="1"/>
  <c r="D106" i="1" s="1"/>
  <c r="F250" i="1"/>
  <c r="C106" i="1"/>
  <c r="C135" i="1"/>
  <c r="I162" i="1"/>
  <c r="H162" i="1"/>
  <c r="F281" i="1"/>
  <c r="G281" i="1"/>
  <c r="G241" i="1"/>
  <c r="H241" i="1" s="1"/>
  <c r="F241" i="1"/>
  <c r="C126" i="1"/>
  <c r="F97" i="1"/>
  <c r="E97" i="1"/>
  <c r="C97" i="1"/>
  <c r="K68" i="1"/>
  <c r="D126" i="1" s="1"/>
  <c r="J68" i="1"/>
  <c r="D97" i="1" s="1"/>
  <c r="G185" i="1"/>
  <c r="F185" i="1"/>
  <c r="E310" i="2"/>
  <c r="D238" i="2"/>
  <c r="E238" i="2" s="1"/>
  <c r="D246" i="2"/>
  <c r="E246" i="2" s="1"/>
  <c r="D279" i="2"/>
  <c r="E279" i="2" s="1"/>
  <c r="D280" i="2"/>
  <c r="E280" i="2"/>
  <c r="D281" i="2"/>
  <c r="E281" i="2" s="1"/>
  <c r="D283" i="2"/>
  <c r="E283" i="2" s="1"/>
  <c r="D252" i="2"/>
  <c r="E252" i="2" s="1"/>
  <c r="D253" i="2"/>
  <c r="E253" i="2" s="1"/>
  <c r="H161" i="2"/>
  <c r="I161" i="2"/>
  <c r="G288" i="2"/>
  <c r="H288" i="2" s="1"/>
  <c r="F288" i="2"/>
  <c r="G247" i="2"/>
  <c r="H247" i="2" s="1"/>
  <c r="C133" i="2"/>
  <c r="C104" i="2"/>
  <c r="J75" i="2"/>
  <c r="D104" i="2" s="1"/>
  <c r="F247" i="2"/>
  <c r="F104" i="2"/>
  <c r="G104" i="2"/>
  <c r="E133" i="2"/>
  <c r="E104" i="2"/>
  <c r="K75" i="2"/>
  <c r="D133" i="2" s="1"/>
  <c r="H165" i="2"/>
  <c r="K165" i="2" s="1"/>
  <c r="I165" i="2"/>
  <c r="G181" i="2"/>
  <c r="F181" i="2"/>
  <c r="I171" i="2"/>
  <c r="H171" i="2"/>
  <c r="G189" i="2"/>
  <c r="F189" i="2"/>
  <c r="I164" i="2"/>
  <c r="H164" i="2"/>
  <c r="G190" i="2"/>
  <c r="F190" i="2"/>
  <c r="G191" i="2"/>
  <c r="F191" i="2"/>
  <c r="D236" i="1"/>
  <c r="E236" i="1" s="1"/>
  <c r="D253" i="1"/>
  <c r="E253" i="1" s="1"/>
  <c r="D245" i="1"/>
  <c r="E245" i="1" s="1"/>
  <c r="D283" i="1"/>
  <c r="E283" i="1"/>
  <c r="E248" i="1"/>
  <c r="D248" i="1"/>
  <c r="D296" i="1"/>
  <c r="E296" i="1" s="1"/>
  <c r="E242" i="1"/>
  <c r="D242" i="1"/>
  <c r="D291" i="1"/>
  <c r="E291" i="1" s="1"/>
  <c r="G299" i="1"/>
  <c r="H299" i="1" s="1"/>
  <c r="G259" i="1"/>
  <c r="F299" i="1"/>
  <c r="C144" i="1"/>
  <c r="F259" i="1"/>
  <c r="H259" i="1" s="1"/>
  <c r="E115" i="1"/>
  <c r="C115" i="1"/>
  <c r="K86" i="1"/>
  <c r="D144" i="1" s="1"/>
  <c r="J86" i="1"/>
  <c r="D115" i="1" s="1"/>
  <c r="G115" i="1"/>
  <c r="G295" i="1"/>
  <c r="H295" i="1" s="1"/>
  <c r="F295" i="1"/>
  <c r="G255" i="1"/>
  <c r="H255" i="1" s="1"/>
  <c r="F255" i="1"/>
  <c r="G140" i="1"/>
  <c r="E140" i="1"/>
  <c r="F140" i="1"/>
  <c r="H140" i="1" s="1"/>
  <c r="J82" i="1"/>
  <c r="D111" i="1" s="1"/>
  <c r="C140" i="1"/>
  <c r="K82" i="1"/>
  <c r="D140" i="1" s="1"/>
  <c r="C111" i="1"/>
  <c r="I172" i="1"/>
  <c r="H172" i="1"/>
  <c r="I170" i="1"/>
  <c r="H170" i="1"/>
  <c r="F292" i="1"/>
  <c r="H292" i="1"/>
  <c r="F252" i="1"/>
  <c r="G252" i="1" s="1"/>
  <c r="H252" i="1" s="1"/>
  <c r="C137" i="1"/>
  <c r="C108" i="1"/>
  <c r="G292" i="1"/>
  <c r="G108" i="1"/>
  <c r="K79" i="1"/>
  <c r="D137" i="1" s="1"/>
  <c r="J79" i="1"/>
  <c r="D108" i="1" s="1"/>
  <c r="G179" i="1"/>
  <c r="F179" i="1"/>
  <c r="H163" i="1"/>
  <c r="I163" i="1"/>
  <c r="G201" i="1"/>
  <c r="F201" i="1"/>
  <c r="F190" i="1"/>
  <c r="G190" i="1"/>
  <c r="K228" i="2"/>
  <c r="J228" i="2"/>
  <c r="D250" i="2"/>
  <c r="E250" i="2" s="1"/>
  <c r="D288" i="2"/>
  <c r="E288" i="2" s="1"/>
  <c r="D276" i="2"/>
  <c r="E276" i="2" s="1"/>
  <c r="H276" i="2"/>
  <c r="G276" i="2"/>
  <c r="F235" i="2"/>
  <c r="H235" i="2" s="1"/>
  <c r="F276" i="2"/>
  <c r="G235" i="2"/>
  <c r="K63" i="2"/>
  <c r="D121" i="2" s="1"/>
  <c r="J63" i="2"/>
  <c r="D92" i="2" s="1"/>
  <c r="C121" i="2"/>
  <c r="C92" i="2"/>
  <c r="E239" i="2"/>
  <c r="D239" i="2"/>
  <c r="D297" i="2"/>
  <c r="E297" i="2" s="1"/>
  <c r="D284" i="2"/>
  <c r="E284" i="2"/>
  <c r="F280" i="2"/>
  <c r="G280" i="2" s="1"/>
  <c r="H280" i="2" s="1"/>
  <c r="G239" i="2"/>
  <c r="F239" i="2"/>
  <c r="C125" i="2"/>
  <c r="F96" i="2"/>
  <c r="J67" i="2"/>
  <c r="D96" i="2" s="1"/>
  <c r="E96" i="2"/>
  <c r="G125" i="2"/>
  <c r="G96" i="2"/>
  <c r="C96" i="2"/>
  <c r="K67" i="2"/>
  <c r="D125" i="2" s="1"/>
  <c r="F290" i="2"/>
  <c r="G249" i="2"/>
  <c r="F249" i="2"/>
  <c r="G290" i="2"/>
  <c r="H290" i="2" s="1"/>
  <c r="C135" i="2"/>
  <c r="C106" i="2"/>
  <c r="K77" i="2"/>
  <c r="D135" i="2" s="1"/>
  <c r="J77" i="2"/>
  <c r="D106" i="2" s="1"/>
  <c r="I152" i="2"/>
  <c r="H152" i="2"/>
  <c r="K152" i="2" s="1"/>
  <c r="I168" i="2"/>
  <c r="H168" i="2"/>
  <c r="K168" i="2" s="1"/>
  <c r="D237" i="1"/>
  <c r="E237" i="1"/>
  <c r="K219" i="1"/>
  <c r="J219" i="1"/>
  <c r="J218" i="1"/>
  <c r="K218" i="1"/>
  <c r="D243" i="1"/>
  <c r="E243" i="1" s="1"/>
  <c r="D279" i="1"/>
  <c r="E279" i="1" s="1"/>
  <c r="E280" i="1"/>
  <c r="D280" i="1"/>
  <c r="D258" i="1"/>
  <c r="E258" i="1"/>
  <c r="F279" i="1"/>
  <c r="H279" i="1" s="1"/>
  <c r="F239" i="1"/>
  <c r="G279" i="1"/>
  <c r="G239" i="1"/>
  <c r="J66" i="1"/>
  <c r="D95" i="1" s="1"/>
  <c r="C124" i="1"/>
  <c r="G95" i="1"/>
  <c r="F95" i="1"/>
  <c r="H95" i="1" s="1"/>
  <c r="K66" i="1"/>
  <c r="D124" i="1" s="1"/>
  <c r="C95" i="1"/>
  <c r="G285" i="1"/>
  <c r="F285" i="1"/>
  <c r="F245" i="1"/>
  <c r="H245" i="1" s="1"/>
  <c r="G245" i="1"/>
  <c r="E130" i="1"/>
  <c r="C101" i="1"/>
  <c r="K72" i="1"/>
  <c r="D130" i="1" s="1"/>
  <c r="J72" i="1"/>
  <c r="D101" i="1" s="1"/>
  <c r="C130" i="1"/>
  <c r="F196" i="1"/>
  <c r="G196" i="1"/>
  <c r="G298" i="1"/>
  <c r="H298" i="1" s="1"/>
  <c r="F298" i="1"/>
  <c r="G258" i="1"/>
  <c r="H258" i="1" s="1"/>
  <c r="K85" i="1"/>
  <c r="D143" i="1" s="1"/>
  <c r="J85" i="1"/>
  <c r="D114" i="1" s="1"/>
  <c r="F258" i="1"/>
  <c r="F143" i="1"/>
  <c r="C114" i="1"/>
  <c r="C143" i="1"/>
  <c r="I173" i="1"/>
  <c r="H173" i="1"/>
  <c r="G194" i="1"/>
  <c r="F194" i="1"/>
  <c r="G278" i="1"/>
  <c r="H278" i="1" s="1"/>
  <c r="F278" i="1"/>
  <c r="G238" i="1"/>
  <c r="H238" i="1" s="1"/>
  <c r="F238" i="1"/>
  <c r="C94" i="1"/>
  <c r="C123" i="1"/>
  <c r="F123" i="1"/>
  <c r="J65" i="1"/>
  <c r="D94" i="1" s="1"/>
  <c r="K65" i="1"/>
  <c r="D123" i="1" s="1"/>
  <c r="H171" i="1"/>
  <c r="I171" i="1"/>
  <c r="G200" i="1"/>
  <c r="F200" i="1"/>
  <c r="H200" i="1" s="1"/>
  <c r="I200" i="1" s="1"/>
  <c r="K200" i="1" s="1"/>
  <c r="F181" i="1"/>
  <c r="G181" i="1"/>
  <c r="D282" i="2"/>
  <c r="E282" i="2" s="1"/>
  <c r="D286" i="2"/>
  <c r="E286" i="2" s="1"/>
  <c r="D240" i="2"/>
  <c r="E240" i="2"/>
  <c r="D241" i="2"/>
  <c r="E241" i="2" s="1"/>
  <c r="D235" i="2"/>
  <c r="E235" i="2" s="1"/>
  <c r="D290" i="2"/>
  <c r="E290" i="2" s="1"/>
  <c r="D289" i="2"/>
  <c r="E289" i="2" s="1"/>
  <c r="D277" i="2"/>
  <c r="E277" i="2" s="1"/>
  <c r="H173" i="2"/>
  <c r="I173" i="2"/>
  <c r="F282" i="2"/>
  <c r="G241" i="2"/>
  <c r="H241" i="2" s="1"/>
  <c r="F241" i="2"/>
  <c r="G127" i="2"/>
  <c r="G282" i="2"/>
  <c r="H282" i="2" s="1"/>
  <c r="C127" i="2"/>
  <c r="C98" i="2"/>
  <c r="K69" i="2"/>
  <c r="D127" i="2" s="1"/>
  <c r="J69" i="2"/>
  <c r="D98" i="2" s="1"/>
  <c r="I166" i="2"/>
  <c r="H166" i="2"/>
  <c r="G202" i="2"/>
  <c r="F202" i="2"/>
  <c r="G199" i="2"/>
  <c r="F199" i="2"/>
  <c r="E240" i="1"/>
  <c r="D240" i="1"/>
  <c r="E277" i="1"/>
  <c r="D277" i="1"/>
  <c r="D255" i="1"/>
  <c r="E255" i="1" s="1"/>
  <c r="D256" i="1"/>
  <c r="E256" i="1" s="1"/>
  <c r="D250" i="1"/>
  <c r="E250" i="1" s="1"/>
  <c r="E299" i="1"/>
  <c r="D299" i="1"/>
  <c r="F287" i="1"/>
  <c r="G247" i="1"/>
  <c r="F247" i="1"/>
  <c r="J74" i="1"/>
  <c r="D103" i="1" s="1"/>
  <c r="C132" i="1"/>
  <c r="G103" i="1"/>
  <c r="G287" i="1"/>
  <c r="H287" i="1" s="1"/>
  <c r="K74" i="1"/>
  <c r="D132" i="1" s="1"/>
  <c r="E103" i="1"/>
  <c r="C103" i="1"/>
  <c r="G188" i="1"/>
  <c r="F188" i="1"/>
  <c r="G297" i="1"/>
  <c r="F297" i="1"/>
  <c r="H297" i="1" s="1"/>
  <c r="G257" i="1"/>
  <c r="H257" i="1" s="1"/>
  <c r="F257" i="1"/>
  <c r="C142" i="1"/>
  <c r="K84" i="1"/>
  <c r="D142" i="1" s="1"/>
  <c r="J84" i="1"/>
  <c r="D113" i="1" s="1"/>
  <c r="C113" i="1"/>
  <c r="I166" i="1"/>
  <c r="H166" i="1"/>
  <c r="G192" i="1"/>
  <c r="F192" i="1"/>
  <c r="E247" i="2"/>
  <c r="D247" i="2"/>
  <c r="D285" i="2"/>
  <c r="E285" i="2" s="1"/>
  <c r="G285" i="2"/>
  <c r="F285" i="2"/>
  <c r="G244" i="2"/>
  <c r="F244" i="2"/>
  <c r="H244" i="2" s="1"/>
  <c r="C130" i="2"/>
  <c r="G130" i="2"/>
  <c r="C101" i="2"/>
  <c r="K72" i="2"/>
  <c r="D130" i="2" s="1"/>
  <c r="J72" i="2"/>
  <c r="D101" i="2" s="1"/>
  <c r="F180" i="2"/>
  <c r="H180" i="2" s="1"/>
  <c r="I180" i="2" s="1"/>
  <c r="K180" i="2" s="1"/>
  <c r="G180" i="2"/>
  <c r="E270" i="1"/>
  <c r="D258" i="2"/>
  <c r="E258" i="2" s="1"/>
  <c r="K216" i="2"/>
  <c r="J216" i="2"/>
  <c r="K214" i="2"/>
  <c r="J214" i="2"/>
  <c r="D292" i="2"/>
  <c r="E292" i="2" s="1"/>
  <c r="E293" i="2"/>
  <c r="D293" i="2"/>
  <c r="G289" i="2"/>
  <c r="F289" i="2"/>
  <c r="H289" i="2" s="1"/>
  <c r="G248" i="2"/>
  <c r="F248" i="2"/>
  <c r="H248" i="2" s="1"/>
  <c r="C134" i="2"/>
  <c r="C105" i="2"/>
  <c r="K76" i="2"/>
  <c r="D134" i="2" s="1"/>
  <c r="J76" i="2"/>
  <c r="D105" i="2" s="1"/>
  <c r="G296" i="2"/>
  <c r="H296" i="2" s="1"/>
  <c r="F296" i="2"/>
  <c r="F255" i="2"/>
  <c r="G255" i="2" s="1"/>
  <c r="H255" i="2" s="1"/>
  <c r="C112" i="2"/>
  <c r="J83" i="2"/>
  <c r="D112" i="2" s="1"/>
  <c r="G112" i="2"/>
  <c r="K83" i="2"/>
  <c r="D141" i="2" s="1"/>
  <c r="C141" i="2"/>
  <c r="G293" i="2"/>
  <c r="F293" i="2"/>
  <c r="C138" i="2"/>
  <c r="C109" i="2"/>
  <c r="F252" i="2"/>
  <c r="G252" i="2" s="1"/>
  <c r="H252" i="2" s="1"/>
  <c r="K80" i="2"/>
  <c r="D138" i="2" s="1"/>
  <c r="J80" i="2"/>
  <c r="D109" i="2" s="1"/>
  <c r="F109" i="2"/>
  <c r="F298" i="2"/>
  <c r="G257" i="2"/>
  <c r="H257" i="2" s="1"/>
  <c r="F257" i="2"/>
  <c r="G298" i="2"/>
  <c r="H298" i="2" s="1"/>
  <c r="G143" i="2"/>
  <c r="F143" i="2"/>
  <c r="H143" i="2" s="1"/>
  <c r="E143" i="2"/>
  <c r="C143" i="2"/>
  <c r="C114" i="2"/>
  <c r="K85" i="2"/>
  <c r="D143" i="2" s="1"/>
  <c r="J85" i="2"/>
  <c r="D114" i="2" s="1"/>
  <c r="I154" i="2"/>
  <c r="H154" i="2"/>
  <c r="I170" i="2"/>
  <c r="H170" i="2"/>
  <c r="F188" i="2"/>
  <c r="H188" i="2" s="1"/>
  <c r="I188" i="2" s="1"/>
  <c r="K188" i="2" s="1"/>
  <c r="G188" i="2"/>
  <c r="G201" i="2"/>
  <c r="F201" i="2"/>
  <c r="D241" i="1"/>
  <c r="E241" i="1" s="1"/>
  <c r="K224" i="1"/>
  <c r="J224" i="1"/>
  <c r="K223" i="1"/>
  <c r="J223" i="1"/>
  <c r="D254" i="1"/>
  <c r="E254" i="1" s="1"/>
  <c r="D287" i="1"/>
  <c r="E287" i="1" s="1"/>
  <c r="E288" i="1"/>
  <c r="D288" i="1"/>
  <c r="D281" i="1"/>
  <c r="E281" i="1" s="1"/>
  <c r="F291" i="1"/>
  <c r="C136" i="1"/>
  <c r="G251" i="1"/>
  <c r="E107" i="1"/>
  <c r="C107" i="1"/>
  <c r="F251" i="1"/>
  <c r="G291" i="1"/>
  <c r="H291" i="1" s="1"/>
  <c r="K78" i="1"/>
  <c r="D136" i="1" s="1"/>
  <c r="J78" i="1"/>
  <c r="D107" i="1" s="1"/>
  <c r="G107" i="1"/>
  <c r="G180" i="1"/>
  <c r="F180" i="1"/>
  <c r="H180" i="1" s="1"/>
  <c r="I180" i="1" s="1"/>
  <c r="K180" i="1" s="1"/>
  <c r="H153" i="1"/>
  <c r="I153" i="1"/>
  <c r="H151" i="1"/>
  <c r="I151" i="1"/>
  <c r="G184" i="1"/>
  <c r="F184" i="1"/>
  <c r="G276" i="1"/>
  <c r="F276" i="1"/>
  <c r="G236" i="1"/>
  <c r="F236" i="1"/>
  <c r="C92" i="1"/>
  <c r="C121" i="1"/>
  <c r="G121" i="1"/>
  <c r="J63" i="1"/>
  <c r="D92" i="1" s="1"/>
  <c r="G92" i="1"/>
  <c r="K63" i="1"/>
  <c r="D121" i="1" s="1"/>
  <c r="G286" i="1"/>
  <c r="F286" i="1"/>
  <c r="G246" i="1"/>
  <c r="H286" i="1"/>
  <c r="F246" i="1"/>
  <c r="C102" i="1"/>
  <c r="C131" i="1"/>
  <c r="J73" i="1"/>
  <c r="D102" i="1" s="1"/>
  <c r="K73" i="1"/>
  <c r="D131" i="1" s="1"/>
  <c r="G189" i="1"/>
  <c r="F189" i="1"/>
  <c r="H189" i="1" s="1"/>
  <c r="I189" i="1" s="1"/>
  <c r="K189" i="1" s="1"/>
  <c r="D298" i="2"/>
  <c r="E298" i="2" s="1"/>
  <c r="E291" i="2"/>
  <c r="D291" i="2"/>
  <c r="G277" i="2"/>
  <c r="F277" i="2"/>
  <c r="G236" i="2"/>
  <c r="H236" i="2" s="1"/>
  <c r="C122" i="2"/>
  <c r="F236" i="2"/>
  <c r="C93" i="2"/>
  <c r="K64" i="2"/>
  <c r="D122" i="2" s="1"/>
  <c r="J64" i="2"/>
  <c r="D93" i="2" s="1"/>
  <c r="I150" i="2"/>
  <c r="H150" i="2"/>
  <c r="G185" i="2"/>
  <c r="F185" i="2"/>
  <c r="H185" i="2" s="1"/>
  <c r="I185" i="2" s="1"/>
  <c r="K185" i="2" s="1"/>
  <c r="J222" i="1"/>
  <c r="K222" i="1"/>
  <c r="D257" i="1"/>
  <c r="E257" i="1" s="1"/>
  <c r="F288" i="1"/>
  <c r="F248" i="1"/>
  <c r="G248" i="1"/>
  <c r="K75" i="1"/>
  <c r="D133" i="1" s="1"/>
  <c r="C133" i="1"/>
  <c r="C104" i="1"/>
  <c r="J75" i="1"/>
  <c r="D104" i="1" s="1"/>
  <c r="G288" i="1"/>
  <c r="H288" i="1" s="1"/>
  <c r="F186" i="1"/>
  <c r="G186" i="1"/>
  <c r="G187" i="1"/>
  <c r="F187" i="1"/>
  <c r="H187" i="1" s="1"/>
  <c r="I187" i="1" s="1"/>
  <c r="K187" i="1" s="1"/>
  <c r="F198" i="1"/>
  <c r="G198" i="1"/>
  <c r="K218" i="2"/>
  <c r="J218" i="2"/>
  <c r="D296" i="2"/>
  <c r="E296" i="2" s="1"/>
  <c r="D299" i="2"/>
  <c r="E299" i="2" s="1"/>
  <c r="G292" i="2"/>
  <c r="H292" i="2" s="1"/>
  <c r="E108" i="2"/>
  <c r="F251" i="2"/>
  <c r="G251" i="2" s="1"/>
  <c r="H251" i="2" s="1"/>
  <c r="C137" i="2"/>
  <c r="F292" i="2"/>
  <c r="G108" i="2"/>
  <c r="K79" i="2"/>
  <c r="D137" i="2" s="1"/>
  <c r="J79" i="2"/>
  <c r="D108" i="2" s="1"/>
  <c r="C108" i="2"/>
  <c r="G193" i="2"/>
  <c r="F193" i="2"/>
  <c r="E287" i="2"/>
  <c r="D287" i="2"/>
  <c r="J217" i="2"/>
  <c r="K217" i="2"/>
  <c r="J213" i="2"/>
  <c r="K213" i="2"/>
  <c r="D278" i="2"/>
  <c r="E278" i="2" s="1"/>
  <c r="D294" i="2"/>
  <c r="E294" i="2" s="1"/>
  <c r="D295" i="2"/>
  <c r="E295" i="2" s="1"/>
  <c r="J225" i="2"/>
  <c r="K225" i="2"/>
  <c r="K224" i="2"/>
  <c r="J224" i="2"/>
  <c r="K222" i="2"/>
  <c r="J222" i="2"/>
  <c r="J221" i="2"/>
  <c r="K221" i="2"/>
  <c r="K220" i="2"/>
  <c r="J220" i="2"/>
  <c r="G198" i="2"/>
  <c r="F198" i="2"/>
  <c r="H198" i="2" s="1"/>
  <c r="I198" i="2" s="1"/>
  <c r="K198" i="2" s="1"/>
  <c r="I151" i="2"/>
  <c r="H151" i="2"/>
  <c r="I155" i="2"/>
  <c r="H155" i="2"/>
  <c r="G279" i="2"/>
  <c r="H279" i="2" s="1"/>
  <c r="F238" i="2"/>
  <c r="F279" i="2"/>
  <c r="C124" i="2"/>
  <c r="J66" i="2"/>
  <c r="D95" i="2" s="1"/>
  <c r="K66" i="2"/>
  <c r="D124" i="2" s="1"/>
  <c r="G238" i="2"/>
  <c r="C95" i="2"/>
  <c r="I156" i="2"/>
  <c r="H156" i="2"/>
  <c r="I172" i="2"/>
  <c r="H172" i="2"/>
  <c r="F196" i="2"/>
  <c r="H196" i="2" s="1"/>
  <c r="I196" i="2" s="1"/>
  <c r="K196" i="2" s="1"/>
  <c r="G196" i="2"/>
  <c r="F184" i="2"/>
  <c r="H184" i="2" s="1"/>
  <c r="I184" i="2" s="1"/>
  <c r="K184" i="2" s="1"/>
  <c r="G184" i="2"/>
  <c r="E246" i="1"/>
  <c r="D246" i="1"/>
  <c r="D249" i="1"/>
  <c r="E249" i="1" s="1"/>
  <c r="K228" i="1"/>
  <c r="J228" i="1"/>
  <c r="D284" i="1"/>
  <c r="E284" i="1" s="1"/>
  <c r="E292" i="1"/>
  <c r="D292" i="1"/>
  <c r="D289" i="1"/>
  <c r="E289" i="1" s="1"/>
  <c r="D251" i="1"/>
  <c r="E251" i="1" s="1"/>
  <c r="F296" i="1"/>
  <c r="F256" i="1"/>
  <c r="G256" i="1" s="1"/>
  <c r="H256" i="1" s="1"/>
  <c r="G296" i="1"/>
  <c r="H296" i="1" s="1"/>
  <c r="K83" i="1"/>
  <c r="D141" i="1" s="1"/>
  <c r="C141" i="1"/>
  <c r="F112" i="1"/>
  <c r="C112" i="1"/>
  <c r="J83" i="1"/>
  <c r="D112" i="1" s="1"/>
  <c r="G202" i="1"/>
  <c r="F202" i="1"/>
  <c r="I156" i="1"/>
  <c r="H156" i="1"/>
  <c r="I154" i="1"/>
  <c r="H154" i="1"/>
  <c r="G284" i="1"/>
  <c r="H284" i="1" s="1"/>
  <c r="F284" i="1"/>
  <c r="G244" i="1"/>
  <c r="H244" i="1" s="1"/>
  <c r="F244" i="1"/>
  <c r="C129" i="1"/>
  <c r="C100" i="1"/>
  <c r="K71" i="1"/>
  <c r="D129" i="1" s="1"/>
  <c r="J71" i="1"/>
  <c r="D100" i="1" s="1"/>
  <c r="F129" i="1"/>
  <c r="I152" i="1"/>
  <c r="H152" i="1"/>
  <c r="K152" i="1" s="1"/>
  <c r="F294" i="1"/>
  <c r="G254" i="1"/>
  <c r="F254" i="1"/>
  <c r="G294" i="1"/>
  <c r="H294" i="1" s="1"/>
  <c r="C110" i="1"/>
  <c r="C139" i="1"/>
  <c r="G110" i="1"/>
  <c r="K81" i="1"/>
  <c r="D139" i="1" s="1"/>
  <c r="E110" i="1"/>
  <c r="F110" i="1"/>
  <c r="H110" i="1" s="1"/>
  <c r="J81" i="1"/>
  <c r="D110" i="1" s="1"/>
  <c r="G195" i="1"/>
  <c r="F195" i="1"/>
  <c r="G183" i="1"/>
  <c r="F183" i="1"/>
  <c r="G197" i="1"/>
  <c r="F197" i="1"/>
  <c r="F93" i="1" l="1"/>
  <c r="H291" i="2"/>
  <c r="H197" i="1"/>
  <c r="I197" i="1" s="1"/>
  <c r="K197" i="1" s="1"/>
  <c r="H202" i="1"/>
  <c r="I202" i="1" s="1"/>
  <c r="K202" i="1" s="1"/>
  <c r="K156" i="2"/>
  <c r="G137" i="2"/>
  <c r="H277" i="2"/>
  <c r="E131" i="1"/>
  <c r="H246" i="1"/>
  <c r="E138" i="2"/>
  <c r="F112" i="2"/>
  <c r="F134" i="2"/>
  <c r="H285" i="2"/>
  <c r="E142" i="1"/>
  <c r="H247" i="1"/>
  <c r="K173" i="2"/>
  <c r="H181" i="1"/>
  <c r="I181" i="1" s="1"/>
  <c r="K181" i="1" s="1"/>
  <c r="G123" i="1"/>
  <c r="F124" i="1"/>
  <c r="G106" i="2"/>
  <c r="H191" i="2"/>
  <c r="I191" i="2" s="1"/>
  <c r="K191" i="2" s="1"/>
  <c r="K171" i="2"/>
  <c r="H281" i="1"/>
  <c r="H243" i="2"/>
  <c r="I243" i="2" s="1"/>
  <c r="J243" i="2" s="1"/>
  <c r="K243" i="2" s="1"/>
  <c r="E99" i="2"/>
  <c r="H242" i="2"/>
  <c r="H249" i="1"/>
  <c r="K169" i="1"/>
  <c r="E99" i="1"/>
  <c r="H277" i="1"/>
  <c r="I277" i="1" s="1"/>
  <c r="J277" i="1" s="1"/>
  <c r="K277" i="1" s="1"/>
  <c r="E102" i="2"/>
  <c r="H245" i="2"/>
  <c r="I245" i="2" s="1"/>
  <c r="J245" i="2" s="1"/>
  <c r="K245" i="2" s="1"/>
  <c r="G124" i="1"/>
  <c r="E133" i="1"/>
  <c r="G131" i="1"/>
  <c r="E121" i="1"/>
  <c r="K151" i="1"/>
  <c r="K154" i="2"/>
  <c r="F114" i="2"/>
  <c r="G101" i="2"/>
  <c r="F103" i="1"/>
  <c r="H103" i="1" s="1"/>
  <c r="F127" i="2"/>
  <c r="H127" i="2" s="1"/>
  <c r="H249" i="2"/>
  <c r="E108" i="1"/>
  <c r="G126" i="1"/>
  <c r="E126" i="1"/>
  <c r="F106" i="1"/>
  <c r="H183" i="2"/>
  <c r="I183" i="2" s="1"/>
  <c r="K183" i="2" s="1"/>
  <c r="E113" i="1"/>
  <c r="K161" i="1"/>
  <c r="E127" i="1"/>
  <c r="G99" i="1"/>
  <c r="K168" i="1"/>
  <c r="F125" i="1"/>
  <c r="H125" i="1" s="1"/>
  <c r="H123" i="1"/>
  <c r="F126" i="1"/>
  <c r="H126" i="1" s="1"/>
  <c r="K126" i="1" s="1"/>
  <c r="H238" i="2"/>
  <c r="G133" i="1"/>
  <c r="H195" i="1"/>
  <c r="I195" i="1" s="1"/>
  <c r="K195" i="1" s="1"/>
  <c r="K154" i="1"/>
  <c r="E112" i="1"/>
  <c r="F108" i="2"/>
  <c r="H108" i="2" s="1"/>
  <c r="J108" i="2" s="1"/>
  <c r="H186" i="1"/>
  <c r="I186" i="1" s="1"/>
  <c r="K186" i="1" s="1"/>
  <c r="F133" i="1"/>
  <c r="G122" i="2"/>
  <c r="F121" i="1"/>
  <c r="H236" i="1"/>
  <c r="H201" i="2"/>
  <c r="I201" i="2" s="1"/>
  <c r="K201" i="2" s="1"/>
  <c r="E114" i="2"/>
  <c r="F138" i="2"/>
  <c r="H293" i="2"/>
  <c r="G105" i="2"/>
  <c r="G142" i="1"/>
  <c r="H188" i="1"/>
  <c r="I188" i="1" s="1"/>
  <c r="K188" i="1" s="1"/>
  <c r="E98" i="2"/>
  <c r="K171" i="1"/>
  <c r="H285" i="1"/>
  <c r="E121" i="2"/>
  <c r="F115" i="1"/>
  <c r="H115" i="1" s="1"/>
  <c r="K161" i="2"/>
  <c r="G106" i="1"/>
  <c r="F127" i="1"/>
  <c r="H242" i="1"/>
  <c r="H281" i="2"/>
  <c r="F134" i="1"/>
  <c r="K165" i="1"/>
  <c r="F128" i="1"/>
  <c r="H283" i="1"/>
  <c r="I283" i="1" s="1"/>
  <c r="J283" i="1" s="1"/>
  <c r="K283" i="1" s="1"/>
  <c r="F138" i="1"/>
  <c r="H280" i="1"/>
  <c r="H239" i="1"/>
  <c r="H299" i="2"/>
  <c r="F110" i="2"/>
  <c r="H110" i="2" s="1"/>
  <c r="F107" i="2"/>
  <c r="H107" i="2" s="1"/>
  <c r="F141" i="1"/>
  <c r="E141" i="1"/>
  <c r="H248" i="1"/>
  <c r="G138" i="2"/>
  <c r="H254" i="1"/>
  <c r="G112" i="1"/>
  <c r="K172" i="2"/>
  <c r="E95" i="2"/>
  <c r="H193" i="2"/>
  <c r="I193" i="2" s="1"/>
  <c r="K193" i="2" s="1"/>
  <c r="F131" i="1"/>
  <c r="H131" i="1" s="1"/>
  <c r="H276" i="1"/>
  <c r="H251" i="1"/>
  <c r="G109" i="2"/>
  <c r="E105" i="2"/>
  <c r="F130" i="2"/>
  <c r="H130" i="2" s="1"/>
  <c r="F132" i="1"/>
  <c r="H202" i="2"/>
  <c r="I202" i="2" s="1"/>
  <c r="K202" i="2" s="1"/>
  <c r="G98" i="2"/>
  <c r="E123" i="1"/>
  <c r="E143" i="1"/>
  <c r="E124" i="1"/>
  <c r="E125" i="2"/>
  <c r="H239" i="2"/>
  <c r="H190" i="1"/>
  <c r="I190" i="1" s="1"/>
  <c r="K190" i="1" s="1"/>
  <c r="F144" i="1"/>
  <c r="H290" i="1"/>
  <c r="I290" i="1" s="1"/>
  <c r="H258" i="2"/>
  <c r="G127" i="1"/>
  <c r="H237" i="2"/>
  <c r="E97" i="2"/>
  <c r="K169" i="2"/>
  <c r="H289" i="1"/>
  <c r="I289" i="1" s="1"/>
  <c r="J289" i="1" s="1"/>
  <c r="K289" i="1" s="1"/>
  <c r="G128" i="1"/>
  <c r="F122" i="1"/>
  <c r="H122" i="1" s="1"/>
  <c r="G110" i="2"/>
  <c r="H250" i="2"/>
  <c r="F136" i="2"/>
  <c r="H136" i="2" s="1"/>
  <c r="H254" i="2"/>
  <c r="F96" i="1"/>
  <c r="I257" i="2"/>
  <c r="J257" i="2" s="1"/>
  <c r="K257" i="2" s="1"/>
  <c r="I251" i="2"/>
  <c r="J251" i="2" s="1"/>
  <c r="K251" i="2" s="1"/>
  <c r="J246" i="1"/>
  <c r="K246" i="1" s="1"/>
  <c r="I246" i="1"/>
  <c r="I285" i="2"/>
  <c r="J285" i="2" s="1"/>
  <c r="K285" i="2" s="1"/>
  <c r="J280" i="2"/>
  <c r="K280" i="2" s="1"/>
  <c r="I280" i="2"/>
  <c r="I249" i="1"/>
  <c r="J249" i="1" s="1"/>
  <c r="K249" i="1" s="1"/>
  <c r="I244" i="1"/>
  <c r="J244" i="1" s="1"/>
  <c r="K244" i="1" s="1"/>
  <c r="I287" i="1"/>
  <c r="J287" i="1" s="1"/>
  <c r="K287" i="1" s="1"/>
  <c r="I286" i="2"/>
  <c r="J286" i="2" s="1"/>
  <c r="K286" i="2" s="1"/>
  <c r="I256" i="2"/>
  <c r="J256" i="2" s="1"/>
  <c r="K256" i="2" s="1"/>
  <c r="I236" i="2"/>
  <c r="J236" i="2" s="1"/>
  <c r="K236" i="2" s="1"/>
  <c r="I257" i="1"/>
  <c r="J257" i="1" s="1"/>
  <c r="K257" i="1" s="1"/>
  <c r="I278" i="2"/>
  <c r="J278" i="2" s="1"/>
  <c r="K278" i="2" s="1"/>
  <c r="I277" i="2"/>
  <c r="J277" i="2" s="1"/>
  <c r="K277" i="2" s="1"/>
  <c r="I247" i="1"/>
  <c r="J247" i="1" s="1"/>
  <c r="K247" i="1" s="1"/>
  <c r="I281" i="1"/>
  <c r="J281" i="1" s="1"/>
  <c r="K281" i="1" s="1"/>
  <c r="I242" i="2"/>
  <c r="J242" i="2" s="1"/>
  <c r="K242" i="2" s="1"/>
  <c r="J256" i="1"/>
  <c r="K256" i="1" s="1"/>
  <c r="I256" i="1"/>
  <c r="I279" i="2"/>
  <c r="J279" i="2" s="1"/>
  <c r="K279" i="2" s="1"/>
  <c r="I292" i="2"/>
  <c r="J292" i="2" s="1"/>
  <c r="K292" i="2" s="1"/>
  <c r="I291" i="1"/>
  <c r="J291" i="1" s="1"/>
  <c r="K291" i="1" s="1"/>
  <c r="I249" i="2"/>
  <c r="J249" i="2" s="1"/>
  <c r="K249" i="2" s="1"/>
  <c r="I297" i="2"/>
  <c r="J297" i="2" s="1"/>
  <c r="K297" i="2" s="1"/>
  <c r="I240" i="1"/>
  <c r="J240" i="1" s="1"/>
  <c r="K240" i="1" s="1"/>
  <c r="I289" i="2"/>
  <c r="J289" i="2" s="1"/>
  <c r="K289" i="2" s="1"/>
  <c r="J237" i="1"/>
  <c r="K237" i="1" s="1"/>
  <c r="I237" i="1"/>
  <c r="I284" i="1"/>
  <c r="J284" i="1" s="1"/>
  <c r="K284" i="1" s="1"/>
  <c r="J255" i="1"/>
  <c r="K255" i="1" s="1"/>
  <c r="I255" i="1"/>
  <c r="I246" i="2"/>
  <c r="J246" i="2" s="1"/>
  <c r="K246" i="2" s="1"/>
  <c r="I253" i="1"/>
  <c r="J253" i="1" s="1"/>
  <c r="K253" i="1" s="1"/>
  <c r="I236" i="1"/>
  <c r="J236" i="1" s="1"/>
  <c r="K236" i="1" s="1"/>
  <c r="I293" i="2"/>
  <c r="J293" i="2" s="1"/>
  <c r="K293" i="2" s="1"/>
  <c r="I285" i="1"/>
  <c r="J285" i="1" s="1"/>
  <c r="K285" i="1" s="1"/>
  <c r="I252" i="1"/>
  <c r="J252" i="1" s="1"/>
  <c r="K252" i="1" s="1"/>
  <c r="I242" i="1"/>
  <c r="J242" i="1" s="1"/>
  <c r="K242" i="1" s="1"/>
  <c r="I281" i="2"/>
  <c r="J281" i="2" s="1"/>
  <c r="K281" i="2" s="1"/>
  <c r="J280" i="1"/>
  <c r="I280" i="1"/>
  <c r="I247" i="2"/>
  <c r="J247" i="2" s="1"/>
  <c r="K247" i="2" s="1"/>
  <c r="I291" i="2"/>
  <c r="J291" i="2" s="1"/>
  <c r="K291" i="2" s="1"/>
  <c r="J255" i="2"/>
  <c r="K255" i="2" s="1"/>
  <c r="I255" i="2"/>
  <c r="I294" i="1"/>
  <c r="J294" i="1" s="1"/>
  <c r="K294" i="1" s="1"/>
  <c r="I296" i="2"/>
  <c r="J296" i="2" s="1"/>
  <c r="K296" i="2" s="1"/>
  <c r="I241" i="2"/>
  <c r="J241" i="2" s="1"/>
  <c r="K241" i="2" s="1"/>
  <c r="I258" i="1"/>
  <c r="J258" i="1" s="1"/>
  <c r="K258" i="1" s="1"/>
  <c r="I239" i="1"/>
  <c r="J239" i="1" s="1"/>
  <c r="K239" i="1" s="1"/>
  <c r="I235" i="2"/>
  <c r="J235" i="2" s="1"/>
  <c r="K235" i="2" s="1"/>
  <c r="I295" i="1"/>
  <c r="J295" i="1" s="1"/>
  <c r="K295" i="1" s="1"/>
  <c r="I259" i="1"/>
  <c r="J259" i="1" s="1"/>
  <c r="K259" i="1" s="1"/>
  <c r="I250" i="1"/>
  <c r="J250" i="1" s="1"/>
  <c r="K250" i="1" s="1"/>
  <c r="I299" i="2"/>
  <c r="J299" i="2" s="1"/>
  <c r="K299" i="2" s="1"/>
  <c r="I282" i="1"/>
  <c r="J282" i="1" s="1"/>
  <c r="K282" i="1" s="1"/>
  <c r="I252" i="2"/>
  <c r="J252" i="2" s="1"/>
  <c r="K252" i="2" s="1"/>
  <c r="J290" i="2"/>
  <c r="K290" i="2" s="1"/>
  <c r="I290" i="2"/>
  <c r="I295" i="2"/>
  <c r="J295" i="2" s="1"/>
  <c r="K295" i="2" s="1"/>
  <c r="I238" i="2"/>
  <c r="J238" i="2" s="1"/>
  <c r="K238" i="2" s="1"/>
  <c r="J248" i="1"/>
  <c r="I248" i="1"/>
  <c r="I298" i="2"/>
  <c r="J298" i="2" s="1"/>
  <c r="K298" i="2" s="1"/>
  <c r="I244" i="2"/>
  <c r="J244" i="2" s="1"/>
  <c r="K244" i="2" s="1"/>
  <c r="I254" i="1"/>
  <c r="J254" i="1" s="1"/>
  <c r="K254" i="1" s="1"/>
  <c r="J276" i="1"/>
  <c r="K276" i="1" s="1"/>
  <c r="I276" i="1"/>
  <c r="I251" i="1"/>
  <c r="J251" i="1" s="1"/>
  <c r="K251" i="1" s="1"/>
  <c r="J239" i="2"/>
  <c r="I239" i="2"/>
  <c r="I258" i="2"/>
  <c r="J258" i="2" s="1"/>
  <c r="K258" i="2" s="1"/>
  <c r="I237" i="2"/>
  <c r="J237" i="2" s="1"/>
  <c r="K237" i="2" s="1"/>
  <c r="I250" i="2"/>
  <c r="J250" i="2" s="1"/>
  <c r="K250" i="2" s="1"/>
  <c r="I254" i="2"/>
  <c r="J254" i="2" s="1"/>
  <c r="K254" i="2" s="1"/>
  <c r="J103" i="1"/>
  <c r="K103" i="1"/>
  <c r="I238" i="1"/>
  <c r="J238" i="1" s="1"/>
  <c r="K238" i="1" s="1"/>
  <c r="J293" i="1"/>
  <c r="I293" i="1"/>
  <c r="F102" i="1"/>
  <c r="H102" i="1" s="1"/>
  <c r="H112" i="2"/>
  <c r="F94" i="1"/>
  <c r="F94" i="2"/>
  <c r="H183" i="1"/>
  <c r="I183" i="1" s="1"/>
  <c r="K183" i="1" s="1"/>
  <c r="G139" i="1"/>
  <c r="F100" i="1"/>
  <c r="E129" i="1"/>
  <c r="K156" i="1"/>
  <c r="H198" i="1"/>
  <c r="I198" i="1" s="1"/>
  <c r="K198" i="1" s="1"/>
  <c r="H133" i="1"/>
  <c r="K153" i="1"/>
  <c r="G136" i="1"/>
  <c r="F101" i="2"/>
  <c r="H196" i="1"/>
  <c r="I196" i="1" s="1"/>
  <c r="K196" i="1" s="1"/>
  <c r="K163" i="1"/>
  <c r="E137" i="1"/>
  <c r="I292" i="1"/>
  <c r="J292" i="1" s="1"/>
  <c r="K292" i="1" s="1"/>
  <c r="E111" i="1"/>
  <c r="F135" i="1"/>
  <c r="F98" i="1"/>
  <c r="H192" i="2"/>
  <c r="I192" i="2" s="1"/>
  <c r="K192" i="2" s="1"/>
  <c r="G128" i="2"/>
  <c r="H182" i="1"/>
  <c r="I182" i="1" s="1"/>
  <c r="K182" i="1" s="1"/>
  <c r="K167" i="1"/>
  <c r="I253" i="2"/>
  <c r="J253" i="2" s="1"/>
  <c r="K253" i="2" s="1"/>
  <c r="K157" i="2"/>
  <c r="K110" i="1"/>
  <c r="J110" i="1"/>
  <c r="J282" i="2"/>
  <c r="K282" i="2" s="1"/>
  <c r="I282" i="2"/>
  <c r="J95" i="1"/>
  <c r="K95" i="1"/>
  <c r="I287" i="2"/>
  <c r="J287" i="2" s="1"/>
  <c r="K287" i="2" s="1"/>
  <c r="K140" i="1"/>
  <c r="J140" i="1"/>
  <c r="K110" i="2"/>
  <c r="J110" i="2"/>
  <c r="H109" i="2"/>
  <c r="K166" i="2"/>
  <c r="K123" i="1"/>
  <c r="J123" i="1"/>
  <c r="G114" i="1"/>
  <c r="E101" i="1"/>
  <c r="F125" i="2"/>
  <c r="H125" i="2" s="1"/>
  <c r="K239" i="2"/>
  <c r="E92" i="2"/>
  <c r="H179" i="1"/>
  <c r="I179" i="1" s="1"/>
  <c r="K179" i="1" s="1"/>
  <c r="G137" i="1"/>
  <c r="E144" i="1"/>
  <c r="H190" i="2"/>
  <c r="I190" i="2" s="1"/>
  <c r="K190" i="2" s="1"/>
  <c r="H181" i="2"/>
  <c r="I181" i="2" s="1"/>
  <c r="K181" i="2" s="1"/>
  <c r="G133" i="2"/>
  <c r="H185" i="1"/>
  <c r="I185" i="1" s="1"/>
  <c r="K185" i="1" s="1"/>
  <c r="G144" i="2"/>
  <c r="E144" i="2"/>
  <c r="F100" i="2"/>
  <c r="G129" i="2"/>
  <c r="H129" i="2" s="1"/>
  <c r="E98" i="1"/>
  <c r="H179" i="2"/>
  <c r="I179" i="2" s="1"/>
  <c r="K179" i="2" s="1"/>
  <c r="E132" i="2"/>
  <c r="F123" i="2"/>
  <c r="G94" i="2"/>
  <c r="E126" i="2"/>
  <c r="H193" i="1"/>
  <c r="I193" i="1" s="1"/>
  <c r="K193" i="1" s="1"/>
  <c r="E105" i="1"/>
  <c r="K162" i="2"/>
  <c r="E110" i="2"/>
  <c r="K153" i="2"/>
  <c r="H140" i="2"/>
  <c r="K159" i="1"/>
  <c r="K108" i="2"/>
  <c r="J127" i="2"/>
  <c r="K127" i="2"/>
  <c r="J245" i="1"/>
  <c r="I245" i="1"/>
  <c r="H132" i="2"/>
  <c r="F93" i="2"/>
  <c r="J241" i="1"/>
  <c r="I241" i="1"/>
  <c r="I283" i="2"/>
  <c r="J283" i="2" s="1"/>
  <c r="K283" i="2" s="1"/>
  <c r="J136" i="2"/>
  <c r="K136" i="2"/>
  <c r="F124" i="2"/>
  <c r="E104" i="1"/>
  <c r="G102" i="1"/>
  <c r="G94" i="1"/>
  <c r="G101" i="1"/>
  <c r="E135" i="2"/>
  <c r="F121" i="2"/>
  <c r="I276" i="2"/>
  <c r="J276" i="2" s="1"/>
  <c r="K276" i="2" s="1"/>
  <c r="F111" i="1"/>
  <c r="K245" i="1"/>
  <c r="H104" i="2"/>
  <c r="G135" i="1"/>
  <c r="E94" i="2"/>
  <c r="G126" i="2"/>
  <c r="F105" i="1"/>
  <c r="G107" i="2"/>
  <c r="E111" i="2"/>
  <c r="F102" i="2"/>
  <c r="F142" i="2"/>
  <c r="I294" i="2"/>
  <c r="J294" i="2" s="1"/>
  <c r="K294" i="2" s="1"/>
  <c r="K241" i="1"/>
  <c r="J278" i="1"/>
  <c r="K278" i="1" s="1"/>
  <c r="I278" i="1"/>
  <c r="F114" i="1"/>
  <c r="G135" i="2"/>
  <c r="K115" i="1"/>
  <c r="J115" i="1"/>
  <c r="I240" i="2"/>
  <c r="J240" i="2" s="1"/>
  <c r="K240" i="2" s="1"/>
  <c r="F111" i="2"/>
  <c r="I296" i="1"/>
  <c r="J296" i="1" s="1"/>
  <c r="K296" i="1" s="1"/>
  <c r="J288" i="1"/>
  <c r="K288" i="1" s="1"/>
  <c r="I288" i="1"/>
  <c r="E93" i="2"/>
  <c r="G129" i="1"/>
  <c r="H129" i="1" s="1"/>
  <c r="F95" i="2"/>
  <c r="K155" i="2"/>
  <c r="K150" i="2"/>
  <c r="E122" i="2"/>
  <c r="E92" i="1"/>
  <c r="H184" i="1"/>
  <c r="I184" i="1" s="1"/>
  <c r="K184" i="1" s="1"/>
  <c r="F136" i="1"/>
  <c r="G114" i="2"/>
  <c r="H114" i="2" s="1"/>
  <c r="F141" i="2"/>
  <c r="G141" i="2"/>
  <c r="E134" i="2"/>
  <c r="G134" i="2"/>
  <c r="H134" i="2" s="1"/>
  <c r="H192" i="1"/>
  <c r="I192" i="1" s="1"/>
  <c r="K192" i="1" s="1"/>
  <c r="F142" i="1"/>
  <c r="H142" i="1" s="1"/>
  <c r="E132" i="1"/>
  <c r="F98" i="2"/>
  <c r="H194" i="1"/>
  <c r="I194" i="1" s="1"/>
  <c r="K194" i="1" s="1"/>
  <c r="G143" i="1"/>
  <c r="H143" i="1" s="1"/>
  <c r="F130" i="1"/>
  <c r="G121" i="2"/>
  <c r="F108" i="1"/>
  <c r="H108" i="1" s="1"/>
  <c r="K170" i="1"/>
  <c r="G144" i="1"/>
  <c r="K164" i="2"/>
  <c r="F133" i="2"/>
  <c r="H133" i="2" s="1"/>
  <c r="G97" i="1"/>
  <c r="H97" i="1" s="1"/>
  <c r="K162" i="1"/>
  <c r="E106" i="1"/>
  <c r="K160" i="2"/>
  <c r="F115" i="2"/>
  <c r="G100" i="2"/>
  <c r="E129" i="2"/>
  <c r="H127" i="1"/>
  <c r="H182" i="2"/>
  <c r="I182" i="2" s="1"/>
  <c r="K182" i="2" s="1"/>
  <c r="G132" i="2"/>
  <c r="G123" i="2"/>
  <c r="F99" i="2"/>
  <c r="H99" i="2" s="1"/>
  <c r="F97" i="2"/>
  <c r="K158" i="1"/>
  <c r="G134" i="1"/>
  <c r="H134" i="1" s="1"/>
  <c r="F99" i="1"/>
  <c r="H99" i="1" s="1"/>
  <c r="E93" i="1"/>
  <c r="H186" i="2"/>
  <c r="I186" i="2" s="1"/>
  <c r="K186" i="2" s="1"/>
  <c r="E139" i="2"/>
  <c r="G109" i="1"/>
  <c r="G111" i="2"/>
  <c r="F131" i="2"/>
  <c r="G113" i="2"/>
  <c r="G96" i="1"/>
  <c r="H96" i="1" s="1"/>
  <c r="I297" i="1"/>
  <c r="J297" i="1" s="1"/>
  <c r="K297" i="1" s="1"/>
  <c r="I279" i="1"/>
  <c r="J279" i="1" s="1"/>
  <c r="K279" i="1" s="1"/>
  <c r="I299" i="1"/>
  <c r="J299" i="1" s="1"/>
  <c r="K299" i="1" s="1"/>
  <c r="J243" i="1"/>
  <c r="K243" i="1" s="1"/>
  <c r="I243" i="1"/>
  <c r="H138" i="1"/>
  <c r="E100" i="1"/>
  <c r="J248" i="2"/>
  <c r="K248" i="2" s="1"/>
  <c r="I248" i="2"/>
  <c r="K157" i="1"/>
  <c r="H112" i="1"/>
  <c r="F104" i="1"/>
  <c r="G95" i="2"/>
  <c r="E102" i="1"/>
  <c r="H121" i="1"/>
  <c r="H138" i="2"/>
  <c r="E141" i="2"/>
  <c r="E101" i="2"/>
  <c r="G113" i="1"/>
  <c r="G132" i="1"/>
  <c r="E127" i="2"/>
  <c r="E114" i="1"/>
  <c r="F101" i="1"/>
  <c r="E95" i="1"/>
  <c r="F106" i="2"/>
  <c r="H106" i="2" s="1"/>
  <c r="H96" i="2"/>
  <c r="F92" i="2"/>
  <c r="F137" i="1"/>
  <c r="H137" i="1" s="1"/>
  <c r="G111" i="1"/>
  <c r="I288" i="2"/>
  <c r="J288" i="2" s="1"/>
  <c r="K288" i="2" s="1"/>
  <c r="F144" i="2"/>
  <c r="G98" i="1"/>
  <c r="K293" i="1"/>
  <c r="E128" i="2"/>
  <c r="G97" i="2"/>
  <c r="G105" i="1"/>
  <c r="E128" i="1"/>
  <c r="G93" i="1"/>
  <c r="H93" i="1" s="1"/>
  <c r="E107" i="2"/>
  <c r="E138" i="1"/>
  <c r="G102" i="2"/>
  <c r="G142" i="2"/>
  <c r="I286" i="1"/>
  <c r="J286" i="1" s="1"/>
  <c r="K286" i="1" s="1"/>
  <c r="J298" i="1"/>
  <c r="K298" i="1" s="1"/>
  <c r="I298" i="1"/>
  <c r="K248" i="1"/>
  <c r="I284" i="2"/>
  <c r="J284" i="2" s="1"/>
  <c r="K284" i="2" s="1"/>
  <c r="E136" i="1"/>
  <c r="K130" i="2"/>
  <c r="J130" i="2"/>
  <c r="H144" i="1"/>
  <c r="G100" i="1"/>
  <c r="J143" i="2"/>
  <c r="K143" i="2"/>
  <c r="E139" i="1"/>
  <c r="E124" i="2"/>
  <c r="F139" i="1"/>
  <c r="H139" i="1" s="1"/>
  <c r="G141" i="1"/>
  <c r="H141" i="1" s="1"/>
  <c r="G124" i="2"/>
  <c r="K151" i="2"/>
  <c r="F137" i="2"/>
  <c r="E137" i="2"/>
  <c r="G104" i="1"/>
  <c r="F122" i="2"/>
  <c r="H122" i="2" s="1"/>
  <c r="G93" i="2"/>
  <c r="F92" i="1"/>
  <c r="H92" i="1" s="1"/>
  <c r="F107" i="1"/>
  <c r="H107" i="1" s="1"/>
  <c r="K170" i="2"/>
  <c r="E109" i="2"/>
  <c r="E112" i="2"/>
  <c r="F105" i="2"/>
  <c r="H105" i="2" s="1"/>
  <c r="E130" i="2"/>
  <c r="K166" i="1"/>
  <c r="F113" i="1"/>
  <c r="H199" i="2"/>
  <c r="I199" i="2" s="1"/>
  <c r="K199" i="2" s="1"/>
  <c r="E94" i="1"/>
  <c r="K173" i="1"/>
  <c r="G130" i="1"/>
  <c r="K280" i="1"/>
  <c r="E106" i="2"/>
  <c r="F135" i="2"/>
  <c r="H135" i="2" s="1"/>
  <c r="G92" i="2"/>
  <c r="H201" i="1"/>
  <c r="I201" i="1" s="1"/>
  <c r="K201" i="1" s="1"/>
  <c r="K172" i="1"/>
  <c r="H189" i="2"/>
  <c r="I189" i="2" s="1"/>
  <c r="K189" i="2" s="1"/>
  <c r="E135" i="1"/>
  <c r="H106" i="1"/>
  <c r="K163" i="2"/>
  <c r="G115" i="2"/>
  <c r="E100" i="2"/>
  <c r="K158" i="2"/>
  <c r="F103" i="2"/>
  <c r="H103" i="2" s="1"/>
  <c r="E123" i="2"/>
  <c r="F128" i="2"/>
  <c r="F126" i="2"/>
  <c r="H195" i="2"/>
  <c r="I195" i="2" s="1"/>
  <c r="K195" i="2" s="1"/>
  <c r="K167" i="2"/>
  <c r="F139" i="2"/>
  <c r="H139" i="2" s="1"/>
  <c r="E136" i="2"/>
  <c r="K155" i="1"/>
  <c r="F109" i="1"/>
  <c r="G138" i="1"/>
  <c r="G131" i="2"/>
  <c r="F113" i="2"/>
  <c r="H113" i="2" s="1"/>
  <c r="G125" i="1"/>
  <c r="J126" i="1" l="1"/>
  <c r="H128" i="1"/>
  <c r="H137" i="2"/>
  <c r="J290" i="1"/>
  <c r="K290" i="1" s="1"/>
  <c r="H132" i="1"/>
  <c r="H142" i="2"/>
  <c r="H98" i="2"/>
  <c r="K98" i="2" s="1"/>
  <c r="H101" i="2"/>
  <c r="J101" i="2" s="1"/>
  <c r="H124" i="1"/>
  <c r="H111" i="1"/>
  <c r="H101" i="1"/>
  <c r="H115" i="2"/>
  <c r="J115" i="2" s="1"/>
  <c r="H135" i="1"/>
  <c r="K132" i="1"/>
  <c r="J132" i="1"/>
  <c r="K134" i="1"/>
  <c r="J134" i="1"/>
  <c r="J114" i="2"/>
  <c r="K114" i="2"/>
  <c r="I261" i="2"/>
  <c r="I263" i="2" s="1"/>
  <c r="K267" i="2" s="1"/>
  <c r="K129" i="2"/>
  <c r="J129" i="2"/>
  <c r="K97" i="1"/>
  <c r="J97" i="1"/>
  <c r="I302" i="2"/>
  <c r="I304" i="2" s="1"/>
  <c r="K308" i="2" s="1"/>
  <c r="K134" i="2"/>
  <c r="J134" i="2"/>
  <c r="I262" i="1"/>
  <c r="I264" i="1" s="1"/>
  <c r="K268" i="1" s="1"/>
  <c r="K122" i="2"/>
  <c r="J122" i="2"/>
  <c r="J106" i="2"/>
  <c r="K106" i="2"/>
  <c r="H111" i="2"/>
  <c r="J107" i="2"/>
  <c r="K107" i="2"/>
  <c r="K99" i="2"/>
  <c r="J99" i="2"/>
  <c r="K108" i="1"/>
  <c r="J108" i="1"/>
  <c r="J132" i="2"/>
  <c r="K132" i="2"/>
  <c r="K96" i="1"/>
  <c r="J96" i="1"/>
  <c r="J141" i="1"/>
  <c r="K141" i="1"/>
  <c r="K139" i="2"/>
  <c r="J139" i="2"/>
  <c r="K101" i="1"/>
  <c r="J101" i="1"/>
  <c r="K112" i="1"/>
  <c r="J112" i="1"/>
  <c r="H102" i="2"/>
  <c r="H100" i="2"/>
  <c r="H98" i="1"/>
  <c r="H100" i="1"/>
  <c r="K105" i="2"/>
  <c r="J105" i="2"/>
  <c r="K138" i="1"/>
  <c r="J138" i="1"/>
  <c r="H97" i="2"/>
  <c r="K142" i="1"/>
  <c r="J142" i="1"/>
  <c r="J111" i="1"/>
  <c r="K111" i="1"/>
  <c r="H104" i="1"/>
  <c r="K142" i="2"/>
  <c r="J142" i="2"/>
  <c r="K137" i="2"/>
  <c r="J137" i="2"/>
  <c r="I302" i="1"/>
  <c r="I304" i="1" s="1"/>
  <c r="K308" i="1" s="1"/>
  <c r="H130" i="1"/>
  <c r="H121" i="2"/>
  <c r="J143" i="1"/>
  <c r="K143" i="1"/>
  <c r="K93" i="1"/>
  <c r="J93" i="1"/>
  <c r="K125" i="1"/>
  <c r="J125" i="1"/>
  <c r="J135" i="2"/>
  <c r="K135" i="2"/>
  <c r="K107" i="1"/>
  <c r="J107" i="1"/>
  <c r="K138" i="2"/>
  <c r="J138" i="2"/>
  <c r="H113" i="1"/>
  <c r="K92" i="1"/>
  <c r="J92" i="1"/>
  <c r="H144" i="2"/>
  <c r="H92" i="2"/>
  <c r="J121" i="1"/>
  <c r="K121" i="1"/>
  <c r="K99" i="1"/>
  <c r="J99" i="1"/>
  <c r="K127" i="1"/>
  <c r="J127" i="1"/>
  <c r="K133" i="2"/>
  <c r="J133" i="2"/>
  <c r="H141" i="2"/>
  <c r="H95" i="2"/>
  <c r="K104" i="2"/>
  <c r="J104" i="2"/>
  <c r="J140" i="2"/>
  <c r="K140" i="2"/>
  <c r="H123" i="2"/>
  <c r="H94" i="2"/>
  <c r="H126" i="2"/>
  <c r="K131" i="1"/>
  <c r="J131" i="1"/>
  <c r="K109" i="2"/>
  <c r="J109" i="2"/>
  <c r="J133" i="1"/>
  <c r="K133" i="1"/>
  <c r="H94" i="1"/>
  <c r="K102" i="1"/>
  <c r="J102" i="1"/>
  <c r="J103" i="2"/>
  <c r="K103" i="2"/>
  <c r="K113" i="2"/>
  <c r="J113" i="2"/>
  <c r="J137" i="1"/>
  <c r="K137" i="1"/>
  <c r="J135" i="1"/>
  <c r="K135" i="1"/>
  <c r="J129" i="1"/>
  <c r="K129" i="1"/>
  <c r="K122" i="1"/>
  <c r="J122" i="1"/>
  <c r="K106" i="1"/>
  <c r="J106" i="1"/>
  <c r="H109" i="1"/>
  <c r="H128" i="2"/>
  <c r="K139" i="1"/>
  <c r="J139" i="1"/>
  <c r="K144" i="1"/>
  <c r="J144" i="1"/>
  <c r="J96" i="2"/>
  <c r="K96" i="2"/>
  <c r="H131" i="2"/>
  <c r="H136" i="1"/>
  <c r="H114" i="1"/>
  <c r="H105" i="1"/>
  <c r="H124" i="2"/>
  <c r="H93" i="2"/>
  <c r="K125" i="2"/>
  <c r="J125" i="2"/>
  <c r="K112" i="2"/>
  <c r="J112" i="2"/>
  <c r="K101" i="2" l="1"/>
  <c r="J98" i="2"/>
  <c r="K115" i="2"/>
  <c r="K128" i="1"/>
  <c r="J128" i="1"/>
  <c r="K124" i="1"/>
  <c r="J124" i="1"/>
  <c r="E313" i="1"/>
  <c r="K104" i="1"/>
  <c r="J104" i="1"/>
  <c r="J111" i="2"/>
  <c r="K111" i="2"/>
  <c r="K93" i="2"/>
  <c r="J93" i="2"/>
  <c r="K94" i="2"/>
  <c r="J94" i="2"/>
  <c r="J105" i="1"/>
  <c r="K105" i="1"/>
  <c r="K114" i="1"/>
  <c r="J114" i="1"/>
  <c r="K121" i="2"/>
  <c r="J121" i="2"/>
  <c r="K123" i="2"/>
  <c r="J123" i="2"/>
  <c r="J113" i="1"/>
  <c r="K113" i="1"/>
  <c r="K130" i="1"/>
  <c r="J130" i="1"/>
  <c r="K98" i="1"/>
  <c r="J98" i="1"/>
  <c r="J92" i="2"/>
  <c r="K92" i="2"/>
  <c r="E312" i="2" s="1"/>
  <c r="J124" i="2"/>
  <c r="K124" i="2"/>
  <c r="K136" i="1"/>
  <c r="J136" i="1"/>
  <c r="J128" i="2"/>
  <c r="K128" i="2"/>
  <c r="K131" i="2"/>
  <c r="J131" i="2"/>
  <c r="K94" i="1"/>
  <c r="J94" i="1"/>
  <c r="J95" i="2"/>
  <c r="K95" i="2"/>
  <c r="J100" i="2"/>
  <c r="K100" i="2"/>
  <c r="K144" i="2"/>
  <c r="J144" i="2"/>
  <c r="K100" i="1"/>
  <c r="J100" i="1"/>
  <c r="K109" i="1"/>
  <c r="J109" i="1"/>
  <c r="K126" i="2"/>
  <c r="J126" i="2"/>
  <c r="K141" i="2"/>
  <c r="J141" i="2"/>
  <c r="K97" i="2"/>
  <c r="J97" i="2"/>
  <c r="K102" i="2"/>
  <c r="J102" i="2"/>
</calcChain>
</file>

<file path=xl/sharedStrings.xml><?xml version="1.0" encoding="utf-8"?>
<sst xmlns="http://schemas.openxmlformats.org/spreadsheetml/2006/main" count="1045" uniqueCount="224">
  <si>
    <t>FONDATIONS : SEMELLES ISOLÉES – SEMELLE S1</t>
  </si>
  <si>
    <t>Hangar métallique – test – appuis : 12, 15 – pied de poteau : encastré</t>
  </si>
  <si>
    <t>1. CARACTÉRISTIQUES DES MATÉRIAUX, DU SOL ET DU POTEAU</t>
  </si>
  <si>
    <t>Fe (MPa)</t>
  </si>
  <si>
    <t>FC28 (MPa)</t>
  </si>
  <si>
    <t>ft28 (MPa)</t>
  </si>
  <si>
    <t>γ béton (kN/m³)</t>
  </si>
  <si>
    <t>Enrobage c (m)</t>
  </si>
  <si>
    <t>Ancrage D (m)</t>
  </si>
  <si>
    <t>σ sol (bar)</t>
  </si>
  <si>
    <t>γ sol (kN/m³)</t>
  </si>
  <si>
    <t>φ' (°)</t>
  </si>
  <si>
    <t>c' (kPa)</t>
  </si>
  <si>
    <t>ft28 = 0,6 + 0,06·fc28</t>
  </si>
  <si>
    <t>q ELS (bar)</t>
  </si>
  <si>
    <t>q ELU (bar)</t>
  </si>
  <si>
    <t>q ACC (bar)</t>
  </si>
  <si>
    <t>σs ELU (MPa)</t>
  </si>
  <si>
    <t>σs ACC (MPa)</t>
  </si>
  <si>
    <t>σ̄s ELS (MPa)</t>
  </si>
  <si>
    <t>fbu ELU (MPa)</t>
  </si>
  <si>
    <t>fbu ACC (MPa)</t>
  </si>
  <si>
    <t>σ̄bc (MPa)</t>
  </si>
  <si>
    <t>φ supposé (mm)</t>
  </si>
  <si>
    <t>σs ELU = fe/1.15</t>
  </si>
  <si>
    <t>σs ACC = fe/1</t>
  </si>
  <si>
    <t>fbu ELU = 0,85·fc28/1.5</t>
  </si>
  <si>
    <t>fbu ACC = 0,85·fc28/1.2</t>
  </si>
  <si>
    <t>σ̄bc = 0,6·fc28</t>
  </si>
  <si>
    <t>Poteau / fût a (m)</t>
  </si>
  <si>
    <t>Poteau / fût b (m)</t>
  </si>
  <si>
    <t>h0 arase / TN (m)</t>
  </si>
  <si>
    <t>Hp (m)</t>
  </si>
  <si>
    <t>H (m)</t>
  </si>
  <si>
    <t>μl ELU</t>
  </si>
  <si>
    <t>μl ACC</t>
  </si>
  <si>
    <t>γb ELU</t>
  </si>
  <si>
    <t>γb ACC</t>
  </si>
  <si>
    <t>Fissuration</t>
  </si>
  <si>
    <t>Hp = D − H + h0</t>
  </si>
  <si>
    <t>H = D + h0</t>
  </si>
  <si>
    <t>FP</t>
  </si>
  <si>
    <t>2. DIMENSIONNEMENT DE LA SEMELLE</t>
  </si>
  <si>
    <t>A (m)</t>
  </si>
  <si>
    <t>B (m)</t>
  </si>
  <si>
    <t>dx (m)</t>
  </si>
  <si>
    <t>dy (m)</t>
  </si>
  <si>
    <t>Minimum requis</t>
  </si>
  <si>
    <t>Retenu (choisi)</t>
  </si>
  <si>
    <t>Vérification</t>
  </si>
  <si>
    <t>Surface minimale (contrainte moyenne de service) : Nser / (A·B) ≤ q_ELS  ⇒  S = A·B ≥ Nser,max / q_ELS ; homothétie avec le poteau : A = √(S·a/b), B = √(S·b/a). Rigidité : d ≥ max((A − a)/4 ; (B − b)/4) ; H ≥ d + c + 1,5·φ (arrondi à 5 cm).</t>
  </si>
  <si>
    <t>Nser,max (kN)</t>
  </si>
  <si>
    <t>S min (m²)</t>
  </si>
  <si>
    <t>A min (m)</t>
  </si>
  <si>
    <t>B min (m)</t>
  </si>
  <si>
    <t>d min (m)</t>
  </si>
  <si>
    <t>H min (m)</t>
  </si>
  <si>
    <t>S min = Nser/q_ELS</t>
  </si>
  <si>
    <t>A min = √(S·a/b)</t>
  </si>
  <si>
    <t>B min = √(S·b/a)</t>
  </si>
  <si>
    <t>d min = max((A−a)/4 ; (B−b)/4)</t>
  </si>
  <si>
    <t>H min = d + c + 1,5φ</t>
  </si>
  <si>
    <t>3. SOLLICITATIONS LES PLUS DÉFAVORABLES DE CHAQUE COMBINAISON (réactions d'appui, repère global)</t>
  </si>
  <si>
    <t>Combinaison</t>
  </si>
  <si>
    <t>Type</t>
  </si>
  <si>
    <t>Appui</t>
  </si>
  <si>
    <t>N (kN)</t>
  </si>
  <si>
    <t>Mx (kN.m)</t>
  </si>
  <si>
    <t>My (kN.m)</t>
  </si>
  <si>
    <t>Vx (kN)</t>
  </si>
  <si>
    <t>Vy (kN)</t>
  </si>
  <si>
    <t>ELU1</t>
  </si>
  <si>
    <t>ELU</t>
  </si>
  <si>
    <t>12</t>
  </si>
  <si>
    <t>ELU2</t>
  </si>
  <si>
    <t>ELU3 (W1)</t>
  </si>
  <si>
    <t>ELU3 (W2)</t>
  </si>
  <si>
    <t>ELU4 (W1)</t>
  </si>
  <si>
    <t>ELU4 (W2)</t>
  </si>
  <si>
    <t>ELU5 (W1)</t>
  </si>
  <si>
    <t>ELU5 (W2)</t>
  </si>
  <si>
    <t>ELU6 (W1)</t>
  </si>
  <si>
    <t>ELU6 (W2)</t>
  </si>
  <si>
    <t>ELS1</t>
  </si>
  <si>
    <t>ELS</t>
  </si>
  <si>
    <t>ELS2</t>
  </si>
  <si>
    <t>ELS3 (W1)</t>
  </si>
  <si>
    <t>ELS3 (W2)</t>
  </si>
  <si>
    <t>ELS4 (W1)</t>
  </si>
  <si>
    <t>ELS4 (W2)</t>
  </si>
  <si>
    <t>ACC G+ψQ+Ω(1·Ex+0.3·Ey)</t>
  </si>
  <si>
    <t>ACC</t>
  </si>
  <si>
    <t>ACC G+ψQ+Ω(1·Ex−0.3·Ey)</t>
  </si>
  <si>
    <t>ACC G+ψQ+Ω(0.3·Ex+1·Ey)</t>
  </si>
  <si>
    <t>ACC G+ψQ+Ω(0.3·Ex−1·Ey)</t>
  </si>
  <si>
    <t>ACC G+ψQ−Ω(1·Ex+0.3·Ey)</t>
  </si>
  <si>
    <t>ACC G+ψQ−Ω(1·Ex−0.3·Ey)</t>
  </si>
  <si>
    <t>ACC G+ψQ−Ω(0.3·Ex+1·Ey)</t>
  </si>
  <si>
    <t>ACC G+ψQ−Ω(0.3·Ex−1·Ey)</t>
  </si>
  <si>
    <t>4. POIDS DES ÉLÉMENTS</t>
  </si>
  <si>
    <t>Élément</t>
  </si>
  <si>
    <t>Formule</t>
  </si>
  <si>
    <t>Poids (kN)</t>
  </si>
  <si>
    <t>Poids de la semelle</t>
  </si>
  <si>
    <t>Wf = γb·A·B·H</t>
  </si>
  <si>
    <t>Poids du fût (amorce)</t>
  </si>
  <si>
    <t>Wp = γb·a·b·Hp</t>
  </si>
  <si>
    <t>Poids des terres</t>
  </si>
  <si>
    <t>Ws = γsol·(A·B − a·b)·(D − H)</t>
  </si>
  <si>
    <t>POIDS TOTAL</t>
  </si>
  <si>
    <t>W = Wf + Wp + Ws</t>
  </si>
  <si>
    <t>5. EFFORTS À LA SOUS-FACE DE LA SEMELLE ET EXCENTRICITÉS (poids des éléments inclus)</t>
  </si>
  <si>
    <t>Le poids des éléments est ajouté AVANT le calcul de l'excentricité. γG = 1,35 à l'ELU, 1,00 à l'ELS et en situation sismique. Les moments sont transportés au niveau d'assise par le bras de levier H.</t>
  </si>
  <si>
    <t>γG</t>
  </si>
  <si>
    <t>Ntot (kN)</t>
  </si>
  <si>
    <t>My,b (kN.m)</t>
  </si>
  <si>
    <t>Mx,b (kN.m)</t>
  </si>
  <si>
    <t>ex (m)</t>
  </si>
  <si>
    <t>ey (m)</t>
  </si>
  <si>
    <t>Ntot = N + γG·W</t>
  </si>
  <si>
    <t>My,b = My + Vx·H</t>
  </si>
  <si>
    <t>Mx,b = Mx − Vy·H</t>
  </si>
  <si>
    <t>ex = |My,b| / Ntot</t>
  </si>
  <si>
    <t>ey = |Mx,b| / Ntot</t>
  </si>
  <si>
    <t>6.1 VÉRIFICATION DES CONTRAINTES DU SOL "Sens_X" (DTR BC 2.331 – règle des 3/4)</t>
  </si>
  <si>
    <t>e ≤ A/6 : diagramme trapézoïdal ; e &gt; A/6 : diagramme triangulaire (σmin = 0) ; contrainte de référence σ3/4 = (3σmax + σmin)/4 ≤ q.</t>
  </si>
  <si>
    <t>Diagramme</t>
  </si>
  <si>
    <t>σmax (bar)</t>
  </si>
  <si>
    <t>σmin (bar)</t>
  </si>
  <si>
    <t>σ 3/4 (bar)</t>
  </si>
  <si>
    <t>q (bar)</t>
  </si>
  <si>
    <t>Taux</t>
  </si>
  <si>
    <t>σmax = Ntot/(A·B)·(1 + 6e/A) ou 2Ntot/(3B(A/2 − e))</t>
  </si>
  <si>
    <t>σmin = Ntot/(A·B)·(1 − 6e/A) ou 0</t>
  </si>
  <si>
    <t>σ 3/4 = (3σmax + σmin)/4</t>
  </si>
  <si>
    <t>Taux = σ3/4 / q</t>
  </si>
  <si>
    <t>6.2 VÉRIFICATION DES CONTRAINTES DU SOL "Sens_Y" (DTR BC 2.331 – règle des 3/4)</t>
  </si>
  <si>
    <t>e ≤ B/6 : diagramme trapézoïdal ; e &gt; B/6 : diagramme triangulaire (σmin = 0) ; contrainte de référence σ3/4 = (3σmax + σmin)/4 ≤ q.</t>
  </si>
  <si>
    <t>σmax = Ntot/(A·B)·(1 + 6e/B) ou 2Ntot/(3A(B/2 − e))</t>
  </si>
  <si>
    <t>σmin = Ntot/(A·B)·(1 − 6e/B) ou 0</t>
  </si>
  <si>
    <t>7. VÉRIFICATION AU RENVERSEMENT</t>
  </si>
  <si>
    <t>Moment stabilisant calculé au niveau bas de la fondation par rapport au bord extrême. Séisme : Fs ≥ 1,3 avec le poids total (RPA 2024 §4.5.1 et §5.5) ; ELS / ELU : Fs ≥ 1.5 (règle de l'art).</t>
  </si>
  <si>
    <t>Nt (kN)</t>
  </si>
  <si>
    <t>Fs x</t>
  </si>
  <si>
    <t>Fs y</t>
  </si>
  <si>
    <t>Fs requis</t>
  </si>
  <si>
    <t>Nt = N + γG·W</t>
  </si>
  <si>
    <t>Fs x = Nt·(A/2) / |My,b|</t>
  </si>
  <si>
    <t>Fs y = Nt·(B/2) / |Mx,b|</t>
  </si>
  <si>
    <t>8. VÉRIFICATION AU GLISSEMENT</t>
  </si>
  <si>
    <t>A' = Lx'·Ly' = surface comprimée (L' = L si e ≤ L/6, sinon 3·(L/2 − e)). Fs ≥ 1,25 en situation sismique (RPA 2024 §5.5 et §10.1.5) ; ≥ 1.5 en ELS / ELU (DTR BC 2.33.1).</t>
  </si>
  <si>
    <t>H (kN)</t>
  </si>
  <si>
    <t>Lx' (m)</t>
  </si>
  <si>
    <t>Ly' (m)</t>
  </si>
  <si>
    <t>R (kN)</t>
  </si>
  <si>
    <t>Fs</t>
  </si>
  <si>
    <t>H = √(Vx² + Vy²)</t>
  </si>
  <si>
    <t>R = Nt·tanφ' + c'·A'</t>
  </si>
  <si>
    <t>Fs = R / H</t>
  </si>
  <si>
    <t>9. VÉRIFICATION AU SOULÈVEMENT</t>
  </si>
  <si>
    <t>Fs requis : 1.5 (ELS) ou 1 (ELU, séisme) – règle de l'art.</t>
  </si>
  <si>
    <t>T (kN)</t>
  </si>
  <si>
    <t>W stab (kN)</t>
  </si>
  <si>
    <t>T = −N</t>
  </si>
  <si>
    <t>W stab = γG·W</t>
  </si>
  <si>
    <t>Fs = γG·W / T</t>
  </si>
  <si>
    <t>10. VÉRIFICATION AU POINÇONNEMENT (BAEL A.5.2.4)</t>
  </si>
  <si>
    <t>Nu (kN)</t>
  </si>
  <si>
    <t>P'u (kN)</t>
  </si>
  <si>
    <t>uc (m)</t>
  </si>
  <si>
    <t>γb</t>
  </si>
  <si>
    <t>P'lim (kN)</t>
  </si>
  <si>
    <t>Nu = N + γG·Wp</t>
  </si>
  <si>
    <t>P'u = Nu·[1 − (a + 2H)(b + 2H)/(A·B)]</t>
  </si>
  <si>
    <t>uc = 2·(a + b + 2H)</t>
  </si>
  <si>
    <t>P'lim = 0,045·uc·H·fc28/γb</t>
  </si>
  <si>
    <t>Taux = P'u / P'lim</t>
  </si>
  <si>
    <t>11.1 FERRAILLAGE DE LA SEMELLE – NAPPE INFÉRIEURE // A (x)</t>
  </si>
  <si>
    <t>Méthode des bielles si e₀ = |M|/Nu ≤ A/6. Méthode des moments à la section S1 (l₁ = A/2 − 0,35·a) : M₁ = B·∫₀^l₁ σ(s)·(l₁ − s)·ds − w·B·l₁²/2, w = γG·(γb·H + γsol·(D − H)). ELU / ACC : z = d·(1 − 0,4α), α = 1,25(1 − √(1 − 2μ)). ELS : section fissurée n = 15, α³ − 3α² − 90μs·α + 90μs = 0, z = d·(1 − α/3).</t>
  </si>
  <si>
    <t>e₀ (m)</t>
  </si>
  <si>
    <t>As bielles (cm²)</t>
  </si>
  <si>
    <t>x comprimée (m)</t>
  </si>
  <si>
    <t>σmax (kPa)</t>
  </si>
  <si>
    <t>M₁ (S1) (kN.m)</t>
  </si>
  <si>
    <t>μ</t>
  </si>
  <si>
    <t>As moments (cm²)</t>
  </si>
  <si>
    <t>As (cm²)</t>
  </si>
  <si>
    <t>e₀ = |M| / Nu</t>
  </si>
  <si>
    <t>As bielles = N'·(A − a)/(8·d·σs)</t>
  </si>
  <si>
    <t>x comprimée = A ou 3(A/2 − e)</t>
  </si>
  <si>
    <t>μ = M₁/(b·d²·fbu ou σ̄s)</t>
  </si>
  <si>
    <t>As moments = M₁/(z·σs)</t>
  </si>
  <si>
    <t>As = max</t>
  </si>
  <si>
    <t>Désignation</t>
  </si>
  <si>
    <t>Valeur</t>
  </si>
  <si>
    <t>As max (bielles / moments)</t>
  </si>
  <si>
    <t>max des combinaisons</t>
  </si>
  <si>
    <t>As min – non-fragilité</t>
  </si>
  <si>
    <t>0,23·B·d·ft28/fe</t>
  </si>
  <si>
    <t>As requis</t>
  </si>
  <si>
    <t>max(As ; As min)</t>
  </si>
  <si>
    <t>Diamètre retenu φ (mm)</t>
  </si>
  <si>
    <t>choix</t>
  </si>
  <si>
    <t>Espacement retenu s (m)</t>
  </si>
  <si>
    <t>Nombre de barres</t>
  </si>
  <si>
    <t>n = ⌈(B − 2c)/s⌉ + 1</t>
  </si>
  <si>
    <t>As fourni</t>
  </si>
  <si>
    <t>n·π·φ²/4</t>
  </si>
  <si>
    <t>Espacement maximal</t>
  </si>
  <si>
    <t>min(2·H ; 25 cm)</t>
  </si>
  <si>
    <t>FERRAILLAGE // A</t>
  </si>
  <si>
    <t>11.2 FERRAILLAGE DE LA SEMELLE – NAPPE INFÉRIEURE // B (y)</t>
  </si>
  <si>
    <t>Méthode des bielles si e₀ = |M|/Nu ≤ B/6. Méthode des moments à la section S1 (l₁ = B/2 − 0,35·b) : M₁ = A·∫₀^l₁ σ(s)·(l₁ − s)·ds − w·A·l₁²/2, w = γG·(γb·H + γsol·(D − H)). ELU / ACC : z = d·(1 − 0,4α), α = 1,25(1 − √(1 − 2μ)). ELS : section fissurée n = 15, α³ − 3α² − 90μs·α + 90μs = 0, z = d·(1 − α/3).</t>
  </si>
  <si>
    <t>As bielles = N'·(B − b)/(8·d·σs)</t>
  </si>
  <si>
    <t>x comprimée = B ou 3(B/2 − e)</t>
  </si>
  <si>
    <t>0,23·A·d·ft28/fe</t>
  </si>
  <si>
    <t>n = ⌈(A − 2c)/s⌉ + 1</t>
  </si>
  <si>
    <t>FERRAILLAGE // B</t>
  </si>
  <si>
    <t>Nappe supérieure nécessaire (M₁ &lt; 0 : soulèvement de la console) : As,sup = 19.23 cm² → 17 HA12</t>
  </si>
  <si>
    <t>CONCLUSION</t>
  </si>
  <si>
    <t>FONDATIONS : SEMELLES ISOLÉES – SEMELLE S2</t>
  </si>
  <si>
    <t>Hangar métallique – test – appuis : 30 – pied de poteau : articulé</t>
  </si>
  <si>
    <t>30</t>
  </si>
  <si>
    <t>Nappe supérieure nécessaire (M₁ &lt; 0 : soulèvement de la console) : As,sup = 5.38 cm² → 6 HA12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</si>
</sst>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</font>
    <font>
      <sz val="10"/>
      <color rgb="FF000000"/>
      <name val="Times New Roman"/>
    </font>
    <font>
      <b/>
      <sz val="12"/>
      <color rgb="FF000000"/>
      <name val="Times New Roman"/>
    </font>
    <font>
      <b/>
      <sz val="10"/>
      <color rgb="FF000000"/>
      <name val="Times New Roman"/>
    </font>
    <font>
      <sz val="9"/>
      <color rgb="FF000000"/>
      <name val="Times New Roman"/>
    </font>
    <font>
      <b/>
      <sz val="11"/>
      <color rgb="FF000000"/>
      <name val="Times New Roman"/>
    </font>
    <font>
      <b/>
      <sz val="12"/>
      <color rgb="FFFF0000"/>
      <name val="Times New Roman"/>
    </font>
    <font>
      <sz val="11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E7E6E6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00B050"/>
      </patternFill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6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2" fillId="0" borderId="0" xfId="0" applyFont="1" applyAlignment="1">
      <alignment horizontal="left" vertical="center" wrapText="1"/>
    </xf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8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/>
    <xf numFmtId="2" fontId="6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76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313"/>
  <sheetViews>
    <sheetView showGridLines="0"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2" customWidth="1"/>
    <col min="2" max="2" width="26" customWidth="1"/>
    <col min="3" max="4" width="15" customWidth="1"/>
    <col min="5" max="5" width="26" customWidth="1"/>
    <col min="6" max="11" width="15" customWidth="1"/>
  </cols>
  <sheetData>
    <row r="1" spans="2:11" ht="24" customHeight="1" x14ac:dyDescent="0.25">
      <c r="B1" s="30" t="s">
        <v>0</v>
      </c>
      <c r="C1" s="18"/>
      <c r="D1" s="18"/>
      <c r="E1" s="18"/>
      <c r="F1" s="18"/>
      <c r="G1" s="18"/>
      <c r="H1" s="18"/>
      <c r="I1" s="18"/>
      <c r="J1" s="18"/>
      <c r="K1" s="18"/>
    </row>
    <row r="2" spans="2:11" x14ac:dyDescent="0.25">
      <c r="B2" s="36" t="s">
        <v>1</v>
      </c>
      <c r="C2" s="25"/>
      <c r="D2" s="25"/>
      <c r="E2" s="25"/>
      <c r="F2" s="25"/>
      <c r="G2" s="25"/>
      <c r="H2" s="25"/>
      <c r="I2" s="25"/>
      <c r="J2" s="25"/>
      <c r="K2" s="25"/>
    </row>
    <row r="4" spans="2:11" ht="20.100000000000001" customHeight="1" x14ac:dyDescent="0.25">
      <c r="B4" s="19" t="s">
        <v>2</v>
      </c>
      <c r="C4" s="18"/>
      <c r="D4" s="18"/>
      <c r="E4" s="18"/>
      <c r="F4" s="18"/>
      <c r="G4" s="18"/>
      <c r="H4" s="18"/>
      <c r="I4" s="18"/>
      <c r="J4" s="18"/>
      <c r="K4" s="18"/>
    </row>
    <row r="5" spans="2:11" ht="30" customHeight="1" x14ac:dyDescent="0.25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</row>
    <row r="6" spans="2:11" ht="30" customHeight="1" x14ac:dyDescent="0.25">
      <c r="B6" s="2"/>
      <c r="C6" s="2"/>
      <c r="D6" s="2" t="s">
        <v>13</v>
      </c>
      <c r="E6" s="2"/>
      <c r="F6" s="2"/>
      <c r="G6" s="2"/>
      <c r="H6" s="2"/>
      <c r="I6" s="2"/>
      <c r="J6" s="2"/>
      <c r="K6" s="2"/>
    </row>
    <row r="7" spans="2:11" x14ac:dyDescent="0.25">
      <c r="B7" s="3">
        <v>400</v>
      </c>
      <c r="C7" s="3">
        <v>25</v>
      </c>
      <c r="D7" s="3">
        <f>0.6+0.06*$C$7</f>
        <v>2.1</v>
      </c>
      <c r="E7" s="3">
        <v>25</v>
      </c>
      <c r="F7" s="3">
        <v>0.05</v>
      </c>
      <c r="G7" s="3">
        <v>1.5</v>
      </c>
      <c r="H7" s="3">
        <v>2</v>
      </c>
      <c r="I7" s="3">
        <v>18</v>
      </c>
      <c r="J7" s="3">
        <v>28</v>
      </c>
      <c r="K7" s="3">
        <v>0</v>
      </c>
    </row>
    <row r="8" spans="2:11" ht="20.100000000000001" customHeight="1" x14ac:dyDescent="0.25"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23</v>
      </c>
    </row>
    <row r="9" spans="2:11" ht="30" customHeight="1" x14ac:dyDescent="0.25">
      <c r="B9" s="2"/>
      <c r="C9" s="2"/>
      <c r="D9" s="2"/>
      <c r="E9" s="2" t="s">
        <v>24</v>
      </c>
      <c r="F9" s="2" t="s">
        <v>25</v>
      </c>
      <c r="G9" s="2"/>
      <c r="H9" s="2" t="s">
        <v>26</v>
      </c>
      <c r="I9" s="2" t="s">
        <v>27</v>
      </c>
      <c r="J9" s="2" t="s">
        <v>28</v>
      </c>
      <c r="K9" s="2"/>
    </row>
    <row r="10" spans="2:11" x14ac:dyDescent="0.25">
      <c r="B10" s="3">
        <v>2</v>
      </c>
      <c r="C10" s="3">
        <v>3</v>
      </c>
      <c r="D10" s="3">
        <v>3</v>
      </c>
      <c r="E10" s="3">
        <f>$B$7/1.15</f>
        <v>347.82608695652175</v>
      </c>
      <c r="F10" s="3">
        <f>$B$7/1</f>
        <v>400</v>
      </c>
      <c r="G10" s="3">
        <v>201.63333057805701</v>
      </c>
      <c r="H10" s="3">
        <f>0.85*$C$7/(1*1.5)</f>
        <v>14.166666666666666</v>
      </c>
      <c r="I10" s="3">
        <f>0.85*$C$7/(1*1.2)</f>
        <v>17.708333333333336</v>
      </c>
      <c r="J10" s="3">
        <f>0.6*$C$7</f>
        <v>15</v>
      </c>
      <c r="K10" s="4">
        <v>14</v>
      </c>
    </row>
    <row r="11" spans="2:11" ht="30" customHeight="1" x14ac:dyDescent="0.25">
      <c r="B11" s="1" t="s">
        <v>29</v>
      </c>
      <c r="C11" s="1" t="s">
        <v>30</v>
      </c>
      <c r="D11" s="1" t="s">
        <v>31</v>
      </c>
      <c r="E11" s="1" t="s">
        <v>32</v>
      </c>
      <c r="F11" s="1" t="s">
        <v>33</v>
      </c>
      <c r="G11" s="1" t="s">
        <v>34</v>
      </c>
      <c r="H11" s="1" t="s">
        <v>35</v>
      </c>
      <c r="I11" s="1" t="s">
        <v>36</v>
      </c>
      <c r="J11" s="1" t="s">
        <v>37</v>
      </c>
      <c r="K11" s="1" t="s">
        <v>38</v>
      </c>
    </row>
    <row r="12" spans="2:11" ht="18" customHeight="1" x14ac:dyDescent="0.25">
      <c r="B12" s="2"/>
      <c r="C12" s="2"/>
      <c r="D12" s="2"/>
      <c r="E12" s="2" t="s">
        <v>39</v>
      </c>
      <c r="F12" s="2" t="s">
        <v>40</v>
      </c>
      <c r="G12" s="2"/>
      <c r="H12" s="2"/>
      <c r="I12" s="2"/>
      <c r="J12" s="2"/>
      <c r="K12" s="2"/>
    </row>
    <row r="13" spans="2:11" x14ac:dyDescent="0.25">
      <c r="B13" s="3">
        <v>0.5</v>
      </c>
      <c r="C13" s="3">
        <v>0.5</v>
      </c>
      <c r="D13" s="3">
        <v>0.2</v>
      </c>
      <c r="E13" s="3">
        <f>$G$7-$G$18+$D$13</f>
        <v>1.05</v>
      </c>
      <c r="F13" s="3">
        <f>$G$7+$D$13</f>
        <v>1.7</v>
      </c>
      <c r="G13" s="5">
        <v>0.3916</v>
      </c>
      <c r="H13" s="5">
        <v>0.3795</v>
      </c>
      <c r="I13" s="3">
        <v>1.5</v>
      </c>
      <c r="J13" s="3">
        <v>1.2</v>
      </c>
      <c r="K13" s="6" t="s">
        <v>41</v>
      </c>
    </row>
    <row r="15" spans="2:11" ht="20.100000000000001" customHeight="1" x14ac:dyDescent="0.25">
      <c r="B15" s="19" t="s">
        <v>42</v>
      </c>
      <c r="C15" s="18"/>
      <c r="D15" s="18"/>
      <c r="E15" s="18"/>
      <c r="F15" s="18"/>
      <c r="G15" s="18"/>
      <c r="H15" s="18"/>
      <c r="I15" s="18"/>
      <c r="J15" s="18"/>
      <c r="K15" s="18"/>
    </row>
    <row r="16" spans="2:11" ht="20.100000000000001" customHeight="1" x14ac:dyDescent="0.25">
      <c r="B16" s="17"/>
      <c r="C16" s="18"/>
      <c r="D16" s="18"/>
      <c r="E16" s="1" t="s">
        <v>43</v>
      </c>
      <c r="F16" s="1" t="s">
        <v>44</v>
      </c>
      <c r="G16" s="1" t="s">
        <v>33</v>
      </c>
      <c r="H16" s="17" t="s">
        <v>45</v>
      </c>
      <c r="I16" s="18"/>
      <c r="J16" s="17" t="s">
        <v>46</v>
      </c>
      <c r="K16" s="18"/>
    </row>
    <row r="17" spans="2:11" x14ac:dyDescent="0.25">
      <c r="B17" s="22" t="s">
        <v>47</v>
      </c>
      <c r="C17" s="23"/>
      <c r="D17" s="23"/>
      <c r="E17" s="3">
        <f>$F$23</f>
        <v>0.79056941504209488</v>
      </c>
      <c r="F17" s="3">
        <f>$G$23</f>
        <v>0.79056941504209488</v>
      </c>
      <c r="G17" s="3">
        <f>$J$23</f>
        <v>0.65</v>
      </c>
      <c r="H17" s="28">
        <f>$H$23</f>
        <v>0.5625</v>
      </c>
      <c r="I17" s="21"/>
      <c r="J17" s="28">
        <f>$H$23</f>
        <v>0.5625</v>
      </c>
      <c r="K17" s="21"/>
    </row>
    <row r="18" spans="2:11" x14ac:dyDescent="0.25">
      <c r="B18" s="22" t="s">
        <v>48</v>
      </c>
      <c r="C18" s="23"/>
      <c r="D18" s="23"/>
      <c r="E18" s="8">
        <v>2.75</v>
      </c>
      <c r="F18" s="8">
        <v>2.75</v>
      </c>
      <c r="G18" s="8">
        <v>0.65</v>
      </c>
      <c r="H18" s="28">
        <f>$G$18-$F$7-$K$10/2000</f>
        <v>0.59299999999999997</v>
      </c>
      <c r="I18" s="21"/>
      <c r="J18" s="28">
        <f>$G$18-$F$7-1.5*$K$10/1000</f>
        <v>0.57899999999999996</v>
      </c>
      <c r="K18" s="21"/>
    </row>
    <row r="19" spans="2:11" ht="15.75" x14ac:dyDescent="0.25">
      <c r="B19" s="22" t="s">
        <v>49</v>
      </c>
      <c r="C19" s="23"/>
      <c r="D19" s="23"/>
      <c r="E19" s="9" t="str">
        <f>IF($E$18&gt;=$E$17-0.0001,"OK","NON OK")</f>
        <v>OK</v>
      </c>
      <c r="F19" s="9" t="str">
        <f>IF($F$18&gt;=$F$17-0.0001,"OK","NON OK")</f>
        <v>OK</v>
      </c>
      <c r="G19" s="9" t="str">
        <f>IF($G$18&gt;=$G$17-0.0001,"OK","NON OK")</f>
        <v>OK</v>
      </c>
      <c r="H19" s="29" t="str">
        <f>IF($H$18&gt;=$H$17-0.0001,"OK","NON OK")</f>
        <v>OK</v>
      </c>
      <c r="I19" s="21"/>
      <c r="J19" s="29" t="str">
        <f>IF($J$18&gt;=$J$17-0.0001,"OK","NON OK")</f>
        <v>OK</v>
      </c>
      <c r="K19" s="21"/>
    </row>
    <row r="20" spans="2:11" ht="30" customHeight="1" x14ac:dyDescent="0.25">
      <c r="B20" s="24" t="s">
        <v>50</v>
      </c>
      <c r="C20" s="25"/>
      <c r="D20" s="25"/>
      <c r="E20" s="25"/>
      <c r="F20" s="25"/>
      <c r="G20" s="25"/>
      <c r="H20" s="25"/>
      <c r="I20" s="25"/>
      <c r="J20" s="25"/>
      <c r="K20" s="25"/>
    </row>
    <row r="21" spans="2:11" ht="20.100000000000001" customHeight="1" x14ac:dyDescent="0.25">
      <c r="B21" s="17" t="s">
        <v>51</v>
      </c>
      <c r="C21" s="18"/>
      <c r="D21" s="17" t="s">
        <v>52</v>
      </c>
      <c r="E21" s="18"/>
      <c r="F21" s="1" t="s">
        <v>53</v>
      </c>
      <c r="G21" s="1" t="s">
        <v>54</v>
      </c>
      <c r="H21" s="17" t="s">
        <v>55</v>
      </c>
      <c r="I21" s="18"/>
      <c r="J21" s="17" t="s">
        <v>56</v>
      </c>
      <c r="K21" s="18"/>
    </row>
    <row r="22" spans="2:11" ht="30" customHeight="1" x14ac:dyDescent="0.25">
      <c r="B22" s="33"/>
      <c r="C22" s="34"/>
      <c r="D22" s="33" t="s">
        <v>57</v>
      </c>
      <c r="E22" s="34"/>
      <c r="F22" s="2" t="s">
        <v>58</v>
      </c>
      <c r="G22" s="2" t="s">
        <v>59</v>
      </c>
      <c r="H22" s="33" t="s">
        <v>60</v>
      </c>
      <c r="I22" s="34"/>
      <c r="J22" s="33" t="s">
        <v>61</v>
      </c>
      <c r="K22" s="34"/>
    </row>
    <row r="23" spans="2:11" x14ac:dyDescent="0.25">
      <c r="B23" s="20">
        <f>MAX($G$37,$G$38,$G$39,$G$40,$G$41,$G$42)</f>
        <v>125</v>
      </c>
      <c r="C23" s="21"/>
      <c r="D23" s="28">
        <f>$B$23/($B$10*100)</f>
        <v>0.625</v>
      </c>
      <c r="E23" s="21"/>
      <c r="F23" s="10">
        <f>SQRT($D$23*$B$13/$C$13)</f>
        <v>0.79056941504209488</v>
      </c>
      <c r="G23" s="10">
        <f>SQRT($D$23*$C$13/$B$13)</f>
        <v>0.79056941504209488</v>
      </c>
      <c r="H23" s="28">
        <f>MAX(($E$18-$B$13)/4,($F$18-$C$13)/4)</f>
        <v>0.5625</v>
      </c>
      <c r="I23" s="21"/>
      <c r="J23" s="15">
        <f>MAX(0.4,CEILING($H$23+$F$7+1.5*$K$10/1000,0.05))</f>
        <v>0.65</v>
      </c>
      <c r="K23" s="16"/>
    </row>
    <row r="25" spans="2:11" ht="20.100000000000001" customHeight="1" x14ac:dyDescent="0.25">
      <c r="B25" s="19" t="s">
        <v>62</v>
      </c>
      <c r="C25" s="18"/>
      <c r="D25" s="18"/>
      <c r="E25" s="18"/>
      <c r="F25" s="18"/>
      <c r="G25" s="18"/>
      <c r="H25" s="18"/>
      <c r="I25" s="18"/>
      <c r="J25" s="18"/>
      <c r="K25" s="18"/>
    </row>
    <row r="26" spans="2:11" ht="20.100000000000001" customHeight="1" x14ac:dyDescent="0.25">
      <c r="B26" s="17" t="s">
        <v>63</v>
      </c>
      <c r="C26" s="18"/>
      <c r="D26" s="18"/>
      <c r="E26" s="1" t="s">
        <v>64</v>
      </c>
      <c r="F26" s="1" t="s">
        <v>65</v>
      </c>
      <c r="G26" s="1" t="s">
        <v>66</v>
      </c>
      <c r="H26" s="1" t="s">
        <v>67</v>
      </c>
      <c r="I26" s="1" t="s">
        <v>68</v>
      </c>
      <c r="J26" s="1" t="s">
        <v>69</v>
      </c>
      <c r="K26" s="1" t="s">
        <v>70</v>
      </c>
    </row>
    <row r="27" spans="2:11" x14ac:dyDescent="0.25">
      <c r="B27" s="22" t="s">
        <v>71</v>
      </c>
      <c r="C27" s="23"/>
      <c r="D27" s="23"/>
      <c r="E27" s="6" t="s">
        <v>72</v>
      </c>
      <c r="F27" s="6" t="s">
        <v>73</v>
      </c>
      <c r="G27" s="10">
        <v>159.75</v>
      </c>
      <c r="H27" s="3">
        <v>0</v>
      </c>
      <c r="I27" s="3">
        <v>37.799999999999997</v>
      </c>
      <c r="J27" s="3">
        <v>25.2</v>
      </c>
      <c r="K27" s="3">
        <v>0</v>
      </c>
    </row>
    <row r="28" spans="2:11" x14ac:dyDescent="0.25">
      <c r="B28" s="22" t="s">
        <v>74</v>
      </c>
      <c r="C28" s="23"/>
      <c r="D28" s="23"/>
      <c r="E28" s="6" t="s">
        <v>72</v>
      </c>
      <c r="F28" s="6" t="s">
        <v>73</v>
      </c>
      <c r="G28" s="10">
        <v>174.75</v>
      </c>
      <c r="H28" s="3">
        <v>0</v>
      </c>
      <c r="I28" s="3">
        <v>42.3</v>
      </c>
      <c r="J28" s="3">
        <v>28.2</v>
      </c>
      <c r="K28" s="3">
        <v>0</v>
      </c>
    </row>
    <row r="29" spans="2:11" x14ac:dyDescent="0.25">
      <c r="B29" s="22" t="s">
        <v>75</v>
      </c>
      <c r="C29" s="23"/>
      <c r="D29" s="23"/>
      <c r="E29" s="6" t="s">
        <v>72</v>
      </c>
      <c r="F29" s="6" t="s">
        <v>73</v>
      </c>
      <c r="G29" s="10">
        <v>-27.75</v>
      </c>
      <c r="H29" s="3">
        <v>0</v>
      </c>
      <c r="I29" s="3">
        <v>-65.7</v>
      </c>
      <c r="J29" s="3">
        <v>-25.8</v>
      </c>
      <c r="K29" s="3">
        <v>0</v>
      </c>
    </row>
    <row r="30" spans="2:11" x14ac:dyDescent="0.25">
      <c r="B30" s="22" t="s">
        <v>76</v>
      </c>
      <c r="C30" s="23"/>
      <c r="D30" s="23"/>
      <c r="E30" s="6" t="s">
        <v>72</v>
      </c>
      <c r="F30" s="6" t="s">
        <v>73</v>
      </c>
      <c r="G30" s="10">
        <v>54.75</v>
      </c>
      <c r="H30" s="3">
        <v>-37.5</v>
      </c>
      <c r="I30" s="3">
        <v>24.3</v>
      </c>
      <c r="J30" s="3">
        <v>16.2</v>
      </c>
      <c r="K30" s="3">
        <v>22.5</v>
      </c>
    </row>
    <row r="31" spans="2:11" x14ac:dyDescent="0.25">
      <c r="B31" s="22" t="s">
        <v>77</v>
      </c>
      <c r="C31" s="23"/>
      <c r="D31" s="23"/>
      <c r="E31" s="6" t="s">
        <v>72</v>
      </c>
      <c r="F31" s="6" t="s">
        <v>73</v>
      </c>
      <c r="G31" s="10">
        <v>-57.5</v>
      </c>
      <c r="H31" s="3">
        <v>0</v>
      </c>
      <c r="I31" s="3">
        <v>-72</v>
      </c>
      <c r="J31" s="3">
        <v>-30</v>
      </c>
      <c r="K31" s="3">
        <v>0</v>
      </c>
    </row>
    <row r="32" spans="2:11" x14ac:dyDescent="0.25">
      <c r="B32" s="22" t="s">
        <v>78</v>
      </c>
      <c r="C32" s="23"/>
      <c r="D32" s="23"/>
      <c r="E32" s="6" t="s">
        <v>72</v>
      </c>
      <c r="F32" s="6" t="s">
        <v>73</v>
      </c>
      <c r="G32" s="10">
        <v>25</v>
      </c>
      <c r="H32" s="3">
        <v>-37.5</v>
      </c>
      <c r="I32" s="3">
        <v>18</v>
      </c>
      <c r="J32" s="3">
        <v>12</v>
      </c>
      <c r="K32" s="3">
        <v>22.5</v>
      </c>
    </row>
    <row r="33" spans="2:11" x14ac:dyDescent="0.25">
      <c r="B33" s="22" t="s">
        <v>79</v>
      </c>
      <c r="C33" s="23"/>
      <c r="D33" s="23"/>
      <c r="E33" s="6" t="s">
        <v>72</v>
      </c>
      <c r="F33" s="6" t="s">
        <v>73</v>
      </c>
      <c r="G33" s="10">
        <v>27</v>
      </c>
      <c r="H33" s="3">
        <v>0</v>
      </c>
      <c r="I33" s="3">
        <v>-44.55</v>
      </c>
      <c r="J33" s="3">
        <v>-13.5</v>
      </c>
      <c r="K33" s="3">
        <v>0</v>
      </c>
    </row>
    <row r="34" spans="2:11" x14ac:dyDescent="0.25">
      <c r="B34" s="22" t="s">
        <v>80</v>
      </c>
      <c r="C34" s="23"/>
      <c r="D34" s="23"/>
      <c r="E34" s="6" t="s">
        <v>72</v>
      </c>
      <c r="F34" s="6" t="s">
        <v>73</v>
      </c>
      <c r="G34" s="10">
        <v>101.25</v>
      </c>
      <c r="H34" s="3">
        <v>-33.75</v>
      </c>
      <c r="I34" s="3">
        <v>36.450000000000003</v>
      </c>
      <c r="J34" s="3">
        <v>24.3</v>
      </c>
      <c r="K34" s="3">
        <v>20.25</v>
      </c>
    </row>
    <row r="35" spans="2:11" x14ac:dyDescent="0.25">
      <c r="B35" s="22" t="s">
        <v>81</v>
      </c>
      <c r="C35" s="23"/>
      <c r="D35" s="23"/>
      <c r="E35" s="6" t="s">
        <v>72</v>
      </c>
      <c r="F35" s="6" t="s">
        <v>73</v>
      </c>
      <c r="G35" s="10">
        <v>40.5</v>
      </c>
      <c r="H35" s="3">
        <v>0</v>
      </c>
      <c r="I35" s="3">
        <v>-40.5</v>
      </c>
      <c r="J35" s="3">
        <v>-10.8</v>
      </c>
      <c r="K35" s="3">
        <v>0</v>
      </c>
    </row>
    <row r="36" spans="2:11" x14ac:dyDescent="0.25">
      <c r="B36" s="22" t="s">
        <v>82</v>
      </c>
      <c r="C36" s="23"/>
      <c r="D36" s="23"/>
      <c r="E36" s="6" t="s">
        <v>72</v>
      </c>
      <c r="F36" s="6" t="s">
        <v>73</v>
      </c>
      <c r="G36" s="10">
        <v>114.75</v>
      </c>
      <c r="H36" s="3">
        <v>-33.75</v>
      </c>
      <c r="I36" s="3">
        <v>40.5</v>
      </c>
      <c r="J36" s="3">
        <v>27</v>
      </c>
      <c r="K36" s="3">
        <v>20.25</v>
      </c>
    </row>
    <row r="37" spans="2:11" x14ac:dyDescent="0.25">
      <c r="B37" s="22" t="s">
        <v>83</v>
      </c>
      <c r="C37" s="23"/>
      <c r="D37" s="23"/>
      <c r="E37" s="6" t="s">
        <v>84</v>
      </c>
      <c r="F37" s="6" t="s">
        <v>73</v>
      </c>
      <c r="G37" s="10">
        <v>115</v>
      </c>
      <c r="H37" s="3">
        <v>0</v>
      </c>
      <c r="I37" s="3">
        <v>27</v>
      </c>
      <c r="J37" s="3">
        <v>18</v>
      </c>
      <c r="K37" s="3">
        <v>0</v>
      </c>
    </row>
    <row r="38" spans="2:11" x14ac:dyDescent="0.25">
      <c r="B38" s="22" t="s">
        <v>85</v>
      </c>
      <c r="C38" s="23"/>
      <c r="D38" s="23"/>
      <c r="E38" s="6" t="s">
        <v>84</v>
      </c>
      <c r="F38" s="6" t="s">
        <v>73</v>
      </c>
      <c r="G38" s="10">
        <v>125</v>
      </c>
      <c r="H38" s="3">
        <v>0</v>
      </c>
      <c r="I38" s="3">
        <v>30</v>
      </c>
      <c r="J38" s="3">
        <v>20</v>
      </c>
      <c r="K38" s="3">
        <v>0</v>
      </c>
    </row>
    <row r="39" spans="2:11" x14ac:dyDescent="0.25">
      <c r="B39" s="22" t="s">
        <v>86</v>
      </c>
      <c r="C39" s="23"/>
      <c r="D39" s="23"/>
      <c r="E39" s="6" t="s">
        <v>84</v>
      </c>
      <c r="F39" s="6" t="s">
        <v>73</v>
      </c>
      <c r="G39" s="10">
        <v>-10</v>
      </c>
      <c r="H39" s="3">
        <v>0</v>
      </c>
      <c r="I39" s="3">
        <v>-42</v>
      </c>
      <c r="J39" s="3">
        <v>-16</v>
      </c>
      <c r="K39" s="3">
        <v>0</v>
      </c>
    </row>
    <row r="40" spans="2:11" x14ac:dyDescent="0.25">
      <c r="B40" s="22" t="s">
        <v>87</v>
      </c>
      <c r="C40" s="23"/>
      <c r="D40" s="23"/>
      <c r="E40" s="6" t="s">
        <v>84</v>
      </c>
      <c r="F40" s="6" t="s">
        <v>73</v>
      </c>
      <c r="G40" s="10">
        <v>45</v>
      </c>
      <c r="H40" s="3">
        <v>-25</v>
      </c>
      <c r="I40" s="3">
        <v>18</v>
      </c>
      <c r="J40" s="3">
        <v>12</v>
      </c>
      <c r="K40" s="3">
        <v>15</v>
      </c>
    </row>
    <row r="41" spans="2:11" x14ac:dyDescent="0.25">
      <c r="B41" s="22" t="s">
        <v>88</v>
      </c>
      <c r="C41" s="23"/>
      <c r="D41" s="23"/>
      <c r="E41" s="6" t="s">
        <v>84</v>
      </c>
      <c r="F41" s="6" t="s">
        <v>73</v>
      </c>
      <c r="G41" s="10">
        <v>26.5</v>
      </c>
      <c r="H41" s="3">
        <v>0</v>
      </c>
      <c r="I41" s="3">
        <v>-27.9</v>
      </c>
      <c r="J41" s="3">
        <v>-7.8</v>
      </c>
      <c r="K41" s="3">
        <v>0</v>
      </c>
    </row>
    <row r="42" spans="2:11" x14ac:dyDescent="0.25">
      <c r="B42" s="22" t="s">
        <v>89</v>
      </c>
      <c r="C42" s="23"/>
      <c r="D42" s="23"/>
      <c r="E42" s="6" t="s">
        <v>84</v>
      </c>
      <c r="F42" s="6" t="s">
        <v>73</v>
      </c>
      <c r="G42" s="10">
        <v>76</v>
      </c>
      <c r="H42" s="3">
        <v>-22.5</v>
      </c>
      <c r="I42" s="3">
        <v>26.1</v>
      </c>
      <c r="J42" s="3">
        <v>17.399999999999999</v>
      </c>
      <c r="K42" s="3">
        <v>13.5</v>
      </c>
    </row>
    <row r="43" spans="2:11" x14ac:dyDescent="0.25">
      <c r="B43" s="22" t="s">
        <v>90</v>
      </c>
      <c r="C43" s="23"/>
      <c r="D43" s="23"/>
      <c r="E43" s="6" t="s">
        <v>91</v>
      </c>
      <c r="F43" s="6" t="s">
        <v>73</v>
      </c>
      <c r="G43" s="10">
        <v>138.63999999999999</v>
      </c>
      <c r="H43" s="3">
        <v>43.2</v>
      </c>
      <c r="I43" s="3">
        <v>218.7</v>
      </c>
      <c r="J43" s="3">
        <v>93</v>
      </c>
      <c r="K43" s="3">
        <v>19.440000000000001</v>
      </c>
    </row>
    <row r="44" spans="2:11" x14ac:dyDescent="0.25">
      <c r="B44" s="22" t="s">
        <v>92</v>
      </c>
      <c r="C44" s="23"/>
      <c r="D44" s="23"/>
      <c r="E44" s="6" t="s">
        <v>91</v>
      </c>
      <c r="F44" s="6" t="s">
        <v>73</v>
      </c>
      <c r="G44" s="10">
        <v>121.36</v>
      </c>
      <c r="H44" s="3">
        <v>-43.2</v>
      </c>
      <c r="I44" s="3">
        <v>218.7</v>
      </c>
      <c r="J44" s="3">
        <v>93</v>
      </c>
      <c r="K44" s="3">
        <v>-19.440000000000001</v>
      </c>
    </row>
    <row r="45" spans="2:11" x14ac:dyDescent="0.25">
      <c r="B45" s="22" t="s">
        <v>93</v>
      </c>
      <c r="C45" s="23"/>
      <c r="D45" s="23"/>
      <c r="E45" s="6" t="s">
        <v>91</v>
      </c>
      <c r="F45" s="6" t="s">
        <v>73</v>
      </c>
      <c r="G45" s="10">
        <v>133.6</v>
      </c>
      <c r="H45" s="3">
        <v>144</v>
      </c>
      <c r="I45" s="3">
        <v>80.099999999999994</v>
      </c>
      <c r="J45" s="3">
        <v>37.56</v>
      </c>
      <c r="K45" s="3">
        <v>64.8</v>
      </c>
    </row>
    <row r="46" spans="2:11" x14ac:dyDescent="0.25">
      <c r="B46" s="22" t="s">
        <v>94</v>
      </c>
      <c r="C46" s="23"/>
      <c r="D46" s="23"/>
      <c r="E46" s="6" t="s">
        <v>91</v>
      </c>
      <c r="F46" s="6" t="s">
        <v>73</v>
      </c>
      <c r="G46" s="10">
        <v>76</v>
      </c>
      <c r="H46" s="3">
        <v>-144</v>
      </c>
      <c r="I46" s="3">
        <v>80.099999999999994</v>
      </c>
      <c r="J46" s="3">
        <v>37.56</v>
      </c>
      <c r="K46" s="3">
        <v>-64.8</v>
      </c>
    </row>
    <row r="47" spans="2:11" x14ac:dyDescent="0.25">
      <c r="B47" s="22" t="s">
        <v>95</v>
      </c>
      <c r="C47" s="23"/>
      <c r="D47" s="23"/>
      <c r="E47" s="6" t="s">
        <v>91</v>
      </c>
      <c r="F47" s="6" t="s">
        <v>73</v>
      </c>
      <c r="G47" s="10">
        <v>49.36</v>
      </c>
      <c r="H47" s="3">
        <v>-43.2</v>
      </c>
      <c r="I47" s="3">
        <v>-177.3</v>
      </c>
      <c r="J47" s="3">
        <v>-65.400000000000006</v>
      </c>
      <c r="K47" s="3">
        <v>-19.440000000000001</v>
      </c>
    </row>
    <row r="48" spans="2:11" x14ac:dyDescent="0.25">
      <c r="B48" s="22" t="s">
        <v>96</v>
      </c>
      <c r="C48" s="23"/>
      <c r="D48" s="23"/>
      <c r="E48" s="6" t="s">
        <v>91</v>
      </c>
      <c r="F48" s="6" t="s">
        <v>73</v>
      </c>
      <c r="G48" s="10">
        <v>66.64</v>
      </c>
      <c r="H48" s="3">
        <v>43.2</v>
      </c>
      <c r="I48" s="3">
        <v>-177.3</v>
      </c>
      <c r="J48" s="3">
        <v>-65.400000000000006</v>
      </c>
      <c r="K48" s="3">
        <v>19.440000000000001</v>
      </c>
    </row>
    <row r="49" spans="2:11" x14ac:dyDescent="0.25">
      <c r="B49" s="22" t="s">
        <v>97</v>
      </c>
      <c r="C49" s="23"/>
      <c r="D49" s="23"/>
      <c r="E49" s="6" t="s">
        <v>91</v>
      </c>
      <c r="F49" s="6" t="s">
        <v>73</v>
      </c>
      <c r="G49" s="10">
        <v>54.4</v>
      </c>
      <c r="H49" s="3">
        <v>-144</v>
      </c>
      <c r="I49" s="3">
        <v>-38.700000000000003</v>
      </c>
      <c r="J49" s="3">
        <v>-9.9600000000000009</v>
      </c>
      <c r="K49" s="3">
        <v>-64.8</v>
      </c>
    </row>
    <row r="50" spans="2:11" x14ac:dyDescent="0.25">
      <c r="B50" s="22" t="s">
        <v>98</v>
      </c>
      <c r="C50" s="23"/>
      <c r="D50" s="23"/>
      <c r="E50" s="6" t="s">
        <v>91</v>
      </c>
      <c r="F50" s="6" t="s">
        <v>73</v>
      </c>
      <c r="G50" s="10">
        <v>112</v>
      </c>
      <c r="H50" s="3">
        <v>144</v>
      </c>
      <c r="I50" s="3">
        <v>-38.700000000000003</v>
      </c>
      <c r="J50" s="3">
        <v>-9.9600000000000009</v>
      </c>
      <c r="K50" s="3">
        <v>64.8</v>
      </c>
    </row>
    <row r="52" spans="2:11" ht="20.100000000000001" customHeight="1" x14ac:dyDescent="0.25">
      <c r="B52" s="19" t="s">
        <v>99</v>
      </c>
      <c r="C52" s="18"/>
      <c r="D52" s="18"/>
      <c r="E52" s="18"/>
      <c r="F52" s="18"/>
      <c r="G52" s="18"/>
      <c r="H52" s="18"/>
      <c r="I52" s="18"/>
      <c r="J52" s="18"/>
      <c r="K52" s="18"/>
    </row>
    <row r="53" spans="2:11" ht="20.100000000000001" customHeight="1" x14ac:dyDescent="0.25">
      <c r="B53" s="17" t="s">
        <v>100</v>
      </c>
      <c r="C53" s="18"/>
      <c r="D53" s="18"/>
      <c r="E53" s="17" t="s">
        <v>101</v>
      </c>
      <c r="F53" s="18"/>
      <c r="G53" s="18"/>
      <c r="H53" s="18"/>
      <c r="I53" s="18"/>
      <c r="J53" s="17" t="s">
        <v>102</v>
      </c>
      <c r="K53" s="18"/>
    </row>
    <row r="54" spans="2:11" x14ac:dyDescent="0.25">
      <c r="B54" s="22" t="s">
        <v>103</v>
      </c>
      <c r="C54" s="23"/>
      <c r="D54" s="23"/>
      <c r="E54" s="35" t="s">
        <v>104</v>
      </c>
      <c r="F54" s="21"/>
      <c r="G54" s="21"/>
      <c r="H54" s="21"/>
      <c r="I54" s="21"/>
      <c r="J54" s="20">
        <f>$E$7*$E$18*$F$18*$G$18</f>
        <v>122.890625</v>
      </c>
      <c r="K54" s="21"/>
    </row>
    <row r="55" spans="2:11" x14ac:dyDescent="0.25">
      <c r="B55" s="22" t="s">
        <v>105</v>
      </c>
      <c r="C55" s="23"/>
      <c r="D55" s="23"/>
      <c r="E55" s="35" t="s">
        <v>106</v>
      </c>
      <c r="F55" s="21"/>
      <c r="G55" s="21"/>
      <c r="H55" s="21"/>
      <c r="I55" s="21"/>
      <c r="J55" s="20">
        <f>$E$7*$B$13*$C$13*$E$13</f>
        <v>6.5625</v>
      </c>
      <c r="K55" s="21"/>
    </row>
    <row r="56" spans="2:11" x14ac:dyDescent="0.25">
      <c r="B56" s="22" t="s">
        <v>107</v>
      </c>
      <c r="C56" s="23"/>
      <c r="D56" s="23"/>
      <c r="E56" s="35" t="s">
        <v>108</v>
      </c>
      <c r="F56" s="21"/>
      <c r="G56" s="21"/>
      <c r="H56" s="21"/>
      <c r="I56" s="21"/>
      <c r="J56" s="20">
        <f>$I$7*($E$18*$F$18-$B$13*$C$13)*MAX($G$7-$G$18,0)</f>
        <v>111.88124999999999</v>
      </c>
      <c r="K56" s="21"/>
    </row>
    <row r="57" spans="2:11" x14ac:dyDescent="0.25">
      <c r="B57" s="27" t="s">
        <v>109</v>
      </c>
      <c r="C57" s="18"/>
      <c r="D57" s="18"/>
      <c r="E57" s="35" t="s">
        <v>110</v>
      </c>
      <c r="F57" s="21"/>
      <c r="G57" s="21"/>
      <c r="H57" s="21"/>
      <c r="I57" s="21"/>
      <c r="J57" s="15">
        <f>$J$54+$J$55+$J$56</f>
        <v>241.33437499999999</v>
      </c>
      <c r="K57" s="16"/>
    </row>
    <row r="59" spans="2:11" ht="20.100000000000001" customHeight="1" x14ac:dyDescent="0.25">
      <c r="B59" s="19" t="s">
        <v>111</v>
      </c>
      <c r="C59" s="18"/>
      <c r="D59" s="18"/>
      <c r="E59" s="18"/>
      <c r="F59" s="18"/>
      <c r="G59" s="18"/>
      <c r="H59" s="18"/>
      <c r="I59" s="18"/>
      <c r="J59" s="18"/>
      <c r="K59" s="18"/>
    </row>
    <row r="60" spans="2:11" ht="30" customHeight="1" x14ac:dyDescent="0.25">
      <c r="B60" s="24" t="s">
        <v>112</v>
      </c>
      <c r="C60" s="25"/>
      <c r="D60" s="25"/>
      <c r="E60" s="25"/>
      <c r="F60" s="25"/>
      <c r="G60" s="25"/>
      <c r="H60" s="25"/>
      <c r="I60" s="25"/>
      <c r="J60" s="25"/>
      <c r="K60" s="25"/>
    </row>
    <row r="61" spans="2:11" ht="20.100000000000001" customHeight="1" x14ac:dyDescent="0.25">
      <c r="B61" s="17" t="s">
        <v>63</v>
      </c>
      <c r="C61" s="18"/>
      <c r="D61" s="18"/>
      <c r="E61" s="1" t="s">
        <v>113</v>
      </c>
      <c r="F61" s="17" t="s">
        <v>114</v>
      </c>
      <c r="G61" s="18"/>
      <c r="H61" s="1" t="s">
        <v>115</v>
      </c>
      <c r="I61" s="1" t="s">
        <v>116</v>
      </c>
      <c r="J61" s="1" t="s">
        <v>117</v>
      </c>
      <c r="K61" s="1" t="s">
        <v>118</v>
      </c>
    </row>
    <row r="62" spans="2:11" ht="18" customHeight="1" x14ac:dyDescent="0.25">
      <c r="B62" s="33"/>
      <c r="C62" s="34"/>
      <c r="D62" s="34"/>
      <c r="E62" s="2"/>
      <c r="F62" s="33" t="s">
        <v>119</v>
      </c>
      <c r="G62" s="34"/>
      <c r="H62" s="2" t="s">
        <v>120</v>
      </c>
      <c r="I62" s="2" t="s">
        <v>121</v>
      </c>
      <c r="J62" s="2" t="s">
        <v>122</v>
      </c>
      <c r="K62" s="2" t="s">
        <v>123</v>
      </c>
    </row>
    <row r="63" spans="2:11" x14ac:dyDescent="0.25">
      <c r="B63" s="22" t="s">
        <v>71</v>
      </c>
      <c r="C63" s="23"/>
      <c r="D63" s="23"/>
      <c r="E63" s="3">
        <v>1.35</v>
      </c>
      <c r="F63" s="15">
        <f>$G$27+$E$63*$J$57</f>
        <v>485.55140625000001</v>
      </c>
      <c r="G63" s="16"/>
      <c r="H63" s="3">
        <f>$I$27+$J$27*$F$13</f>
        <v>80.639999999999986</v>
      </c>
      <c r="I63" s="3">
        <f>$H$27-$K$27*$F$13</f>
        <v>0</v>
      </c>
      <c r="J63" s="5">
        <f>IF($F$63&gt;0,ABS($H$63)/$F$63,"N ≤ 0")</f>
        <v>0.16607922243042619</v>
      </c>
      <c r="K63" s="5">
        <f>IF($F$63&gt;0,ABS($I$63)/$F$63,"N ≤ 0")</f>
        <v>0</v>
      </c>
    </row>
    <row r="64" spans="2:11" x14ac:dyDescent="0.25">
      <c r="B64" s="22" t="s">
        <v>74</v>
      </c>
      <c r="C64" s="23"/>
      <c r="D64" s="23"/>
      <c r="E64" s="3">
        <v>1.35</v>
      </c>
      <c r="F64" s="15">
        <f>$G$28+$E$64*$J$57</f>
        <v>500.55140625000001</v>
      </c>
      <c r="G64" s="16"/>
      <c r="H64" s="3">
        <f>$I$28+$J$28*$F$13</f>
        <v>90.24</v>
      </c>
      <c r="I64" s="3">
        <f>$H$28-$K$28*$F$13</f>
        <v>0</v>
      </c>
      <c r="J64" s="5">
        <f>IF($F$64&gt;0,ABS($H$64)/$F$64,"N ≤ 0")</f>
        <v>0.1802811836571481</v>
      </c>
      <c r="K64" s="5">
        <f>IF($F$64&gt;0,ABS($I$64)/$F$64,"N ≤ 0")</f>
        <v>0</v>
      </c>
    </row>
    <row r="65" spans="2:11" x14ac:dyDescent="0.25">
      <c r="B65" s="22" t="s">
        <v>75</v>
      </c>
      <c r="C65" s="23"/>
      <c r="D65" s="23"/>
      <c r="E65" s="3">
        <v>1.35</v>
      </c>
      <c r="F65" s="15">
        <f>$G$29+$E$65*$J$57</f>
        <v>298.05140625000001</v>
      </c>
      <c r="G65" s="16"/>
      <c r="H65" s="3">
        <f>$I$29+$J$29*$F$13</f>
        <v>-109.56</v>
      </c>
      <c r="I65" s="3">
        <f>$H$29-$K$29*$F$13</f>
        <v>0</v>
      </c>
      <c r="J65" s="5">
        <f>IF($F$65&gt;0,ABS($H$65)/$F$65,"N ≤ 0")</f>
        <v>0.36758759630915178</v>
      </c>
      <c r="K65" s="5">
        <f>IF($F$65&gt;0,ABS($I$65)/$F$65,"N ≤ 0")</f>
        <v>0</v>
      </c>
    </row>
    <row r="66" spans="2:11" x14ac:dyDescent="0.25">
      <c r="B66" s="22" t="s">
        <v>76</v>
      </c>
      <c r="C66" s="23"/>
      <c r="D66" s="23"/>
      <c r="E66" s="3">
        <v>1.35</v>
      </c>
      <c r="F66" s="15">
        <f>$G$30+$E$66*$J$57</f>
        <v>380.55140625000001</v>
      </c>
      <c r="G66" s="16"/>
      <c r="H66" s="3">
        <f>$I$30+$J$30*$F$13</f>
        <v>51.84</v>
      </c>
      <c r="I66" s="3">
        <f>$H$30-$K$30*$F$13</f>
        <v>-75.75</v>
      </c>
      <c r="J66" s="5">
        <f>IF($F$66&gt;0,ABS($H$66)/$F$66,"N ≤ 0")</f>
        <v>0.13622338309254375</v>
      </c>
      <c r="K66" s="5">
        <f>IF($F$66&gt;0,ABS($I$66)/$F$66,"N ≤ 0")</f>
        <v>0.1990532652249265</v>
      </c>
    </row>
    <row r="67" spans="2:11" x14ac:dyDescent="0.25">
      <c r="B67" s="22" t="s">
        <v>77</v>
      </c>
      <c r="C67" s="23"/>
      <c r="D67" s="23"/>
      <c r="E67" s="3">
        <v>1</v>
      </c>
      <c r="F67" s="15">
        <f>$G$31+$E$67*$J$57</f>
        <v>183.83437499999999</v>
      </c>
      <c r="G67" s="16"/>
      <c r="H67" s="3">
        <f>$I$31+$J$31*$F$13</f>
        <v>-123</v>
      </c>
      <c r="I67" s="3">
        <f>$H$31-$K$31*$F$13</f>
        <v>0</v>
      </c>
      <c r="J67" s="5">
        <f>IF($F$67&gt;0,ABS($H$67)/$F$67,"N ≤ 0")</f>
        <v>0.66908052424906928</v>
      </c>
      <c r="K67" s="5">
        <f>IF($F$67&gt;0,ABS($I$67)/$F$67,"N ≤ 0")</f>
        <v>0</v>
      </c>
    </row>
    <row r="68" spans="2:11" x14ac:dyDescent="0.25">
      <c r="B68" s="22" t="s">
        <v>78</v>
      </c>
      <c r="C68" s="23"/>
      <c r="D68" s="23"/>
      <c r="E68" s="3">
        <v>1</v>
      </c>
      <c r="F68" s="15">
        <f>$G$32+$E$68*$J$57</f>
        <v>266.33437500000002</v>
      </c>
      <c r="G68" s="16"/>
      <c r="H68" s="3">
        <f>$I$32+$J$32*$F$13</f>
        <v>38.4</v>
      </c>
      <c r="I68" s="3">
        <f>$H$32-$K$32*$F$13</f>
        <v>-75.75</v>
      </c>
      <c r="J68" s="5">
        <f>IF($F$68&gt;0,ABS($H$68)/$F$68,"N ≤ 0")</f>
        <v>0.14417966137491639</v>
      </c>
      <c r="K68" s="5">
        <f>IF($F$68&gt;0,ABS($I$68)/$F$68,"N ≤ 0")</f>
        <v>0.28441691013411241</v>
      </c>
    </row>
    <row r="69" spans="2:11" x14ac:dyDescent="0.25">
      <c r="B69" s="22" t="s">
        <v>79</v>
      </c>
      <c r="C69" s="23"/>
      <c r="D69" s="23"/>
      <c r="E69" s="3">
        <v>1.35</v>
      </c>
      <c r="F69" s="15">
        <f>$G$33+$E$69*$J$57</f>
        <v>352.80140625000001</v>
      </c>
      <c r="G69" s="16"/>
      <c r="H69" s="3">
        <f>$I$33+$J$33*$F$13</f>
        <v>-67.5</v>
      </c>
      <c r="I69" s="3">
        <f>$H$33-$K$33*$F$13</f>
        <v>0</v>
      </c>
      <c r="J69" s="5">
        <f>IF($F$69&gt;0,ABS($H$69)/$F$69,"N ≤ 0")</f>
        <v>0.19132576799359058</v>
      </c>
      <c r="K69" s="5">
        <f>IF($F$69&gt;0,ABS($I$69)/$F$69,"N ≤ 0")</f>
        <v>0</v>
      </c>
    </row>
    <row r="70" spans="2:11" x14ac:dyDescent="0.25">
      <c r="B70" s="22" t="s">
        <v>80</v>
      </c>
      <c r="C70" s="23"/>
      <c r="D70" s="23"/>
      <c r="E70" s="3">
        <v>1.35</v>
      </c>
      <c r="F70" s="15">
        <f>$G$34+$E$70*$J$57</f>
        <v>427.05140625000001</v>
      </c>
      <c r="G70" s="16"/>
      <c r="H70" s="3">
        <f>$I$34+$J$34*$F$13</f>
        <v>77.760000000000005</v>
      </c>
      <c r="I70" s="3">
        <f>$H$34-$K$34*$F$13</f>
        <v>-68.174999999999997</v>
      </c>
      <c r="J70" s="5">
        <f>IF($F$70&gt;0,ABS($H$70)/$F$70,"N ≤ 0")</f>
        <v>0.18208580714631473</v>
      </c>
      <c r="K70" s="5">
        <f>IF($F$70&gt;0,ABS($I$70)/$F$70,"N ≤ 0")</f>
        <v>0.15964120244598773</v>
      </c>
    </row>
    <row r="71" spans="2:11" x14ac:dyDescent="0.25">
      <c r="B71" s="22" t="s">
        <v>81</v>
      </c>
      <c r="C71" s="23"/>
      <c r="D71" s="23"/>
      <c r="E71" s="3">
        <v>1.35</v>
      </c>
      <c r="F71" s="15">
        <f>$G$35+$E$71*$J$57</f>
        <v>366.30140625000001</v>
      </c>
      <c r="G71" s="16"/>
      <c r="H71" s="3">
        <f>$I$35+$J$35*$F$13</f>
        <v>-58.86</v>
      </c>
      <c r="I71" s="3">
        <f>$H$35-$K$35*$F$13</f>
        <v>0</v>
      </c>
      <c r="J71" s="5">
        <f>IF($F$71&gt;0,ABS($H$71)/$F$71,"N ≤ 0")</f>
        <v>0.16068734379858798</v>
      </c>
      <c r="K71" s="5">
        <f>IF($F$71&gt;0,ABS($I$71)/$F$71,"N ≤ 0")</f>
        <v>0</v>
      </c>
    </row>
    <row r="72" spans="2:11" x14ac:dyDescent="0.25">
      <c r="B72" s="22" t="s">
        <v>82</v>
      </c>
      <c r="C72" s="23"/>
      <c r="D72" s="23"/>
      <c r="E72" s="3">
        <v>1.35</v>
      </c>
      <c r="F72" s="15">
        <f>$G$36+$E$72*$J$57</f>
        <v>440.55140625000001</v>
      </c>
      <c r="G72" s="16"/>
      <c r="H72" s="3">
        <f>$I$36+$J$36*$F$13</f>
        <v>86.4</v>
      </c>
      <c r="I72" s="3">
        <f>$H$36-$K$36*$F$13</f>
        <v>-68.174999999999997</v>
      </c>
      <c r="J72" s="5">
        <f>IF($F$72&gt;0,ABS($H$72)/$F$72,"N ≤ 0")</f>
        <v>0.19611786223869307</v>
      </c>
      <c r="K72" s="5">
        <f>IF($F$72&gt;0,ABS($I$72)/$F$72,"N ≤ 0")</f>
        <v>0.15474925067271872</v>
      </c>
    </row>
    <row r="73" spans="2:11" x14ac:dyDescent="0.25">
      <c r="B73" s="22" t="s">
        <v>83</v>
      </c>
      <c r="C73" s="23"/>
      <c r="D73" s="23"/>
      <c r="E73" s="3">
        <v>1</v>
      </c>
      <c r="F73" s="15">
        <f>$G$37+$E$73*$J$57</f>
        <v>356.33437500000002</v>
      </c>
      <c r="G73" s="16"/>
      <c r="H73" s="3">
        <f>$I$37+$J$37*$F$13</f>
        <v>57.599999999999994</v>
      </c>
      <c r="I73" s="3">
        <f>$H$37-$K$37*$F$13</f>
        <v>0</v>
      </c>
      <c r="J73" s="5">
        <f>IF($F$73&gt;0,ABS($H$73)/$F$73,"N ≤ 0")</f>
        <v>0.16164592596490301</v>
      </c>
      <c r="K73" s="5">
        <f>IF($F$73&gt;0,ABS($I$73)/$F$73,"N ≤ 0")</f>
        <v>0</v>
      </c>
    </row>
    <row r="74" spans="2:11" x14ac:dyDescent="0.25">
      <c r="B74" s="22" t="s">
        <v>85</v>
      </c>
      <c r="C74" s="23"/>
      <c r="D74" s="23"/>
      <c r="E74" s="3">
        <v>1</v>
      </c>
      <c r="F74" s="15">
        <f>$G$38+$E$74*$J$57</f>
        <v>366.33437500000002</v>
      </c>
      <c r="G74" s="16"/>
      <c r="H74" s="3">
        <f>$I$38+$J$38*$F$13</f>
        <v>64</v>
      </c>
      <c r="I74" s="3">
        <f>$H$38-$K$38*$F$13</f>
        <v>0</v>
      </c>
      <c r="J74" s="5">
        <f>IF($F$74&gt;0,ABS($H$74)/$F$74,"N ≤ 0")</f>
        <v>0.1747037798459399</v>
      </c>
      <c r="K74" s="5">
        <f>IF($F$74&gt;0,ABS($I$74)/$F$74,"N ≤ 0")</f>
        <v>0</v>
      </c>
    </row>
    <row r="75" spans="2:11" x14ac:dyDescent="0.25">
      <c r="B75" s="22" t="s">
        <v>86</v>
      </c>
      <c r="C75" s="23"/>
      <c r="D75" s="23"/>
      <c r="E75" s="3">
        <v>1</v>
      </c>
      <c r="F75" s="15">
        <f>$G$39+$E$75*$J$57</f>
        <v>231.33437499999999</v>
      </c>
      <c r="G75" s="16"/>
      <c r="H75" s="3">
        <f>$I$39+$J$39*$F$13</f>
        <v>-69.2</v>
      </c>
      <c r="I75" s="3">
        <f>$H$39-$K$39*$F$13</f>
        <v>0</v>
      </c>
      <c r="J75" s="5">
        <f>IF($F$75&gt;0,ABS($H$75)/$F$75,"N ≤ 0")</f>
        <v>0.2991340997203723</v>
      </c>
      <c r="K75" s="5">
        <f>IF($F$75&gt;0,ABS($I$75)/$F$75,"N ≤ 0")</f>
        <v>0</v>
      </c>
    </row>
    <row r="76" spans="2:11" x14ac:dyDescent="0.25">
      <c r="B76" s="22" t="s">
        <v>87</v>
      </c>
      <c r="C76" s="23"/>
      <c r="D76" s="23"/>
      <c r="E76" s="3">
        <v>1</v>
      </c>
      <c r="F76" s="15">
        <f>$G$40+$E$76*$J$57</f>
        <v>286.33437500000002</v>
      </c>
      <c r="G76" s="16"/>
      <c r="H76" s="3">
        <f>$I$40+$J$40*$F$13</f>
        <v>38.4</v>
      </c>
      <c r="I76" s="3">
        <f>$H$40-$K$40*$F$13</f>
        <v>-50.5</v>
      </c>
      <c r="J76" s="5">
        <f>IF($F$76&gt;0,ABS($H$76)/$F$76,"N ≤ 0")</f>
        <v>0.13410894168749385</v>
      </c>
      <c r="K76" s="5">
        <f>IF($F$76&gt;0,ABS($I$76)/$F$76,"N ≤ 0")</f>
        <v>0.17636722800048019</v>
      </c>
    </row>
    <row r="77" spans="2:11" x14ac:dyDescent="0.25">
      <c r="B77" s="22" t="s">
        <v>88</v>
      </c>
      <c r="C77" s="23"/>
      <c r="D77" s="23"/>
      <c r="E77" s="3">
        <v>1</v>
      </c>
      <c r="F77" s="15">
        <f>$G$41+$E$77*$J$57</f>
        <v>267.83437500000002</v>
      </c>
      <c r="G77" s="16"/>
      <c r="H77" s="3">
        <f>$I$41+$J$41*$F$13</f>
        <v>-41.16</v>
      </c>
      <c r="I77" s="3">
        <f>$H$41-$K$41*$F$13</f>
        <v>0</v>
      </c>
      <c r="J77" s="5">
        <f>IF($F$77&gt;0,ABS($H$77)/$F$77,"N ≤ 0")</f>
        <v>0.15367706255031674</v>
      </c>
      <c r="K77" s="5">
        <f>IF($F$77&gt;0,ABS($I$77)/$F$77,"N ≤ 0")</f>
        <v>0</v>
      </c>
    </row>
    <row r="78" spans="2:11" x14ac:dyDescent="0.25">
      <c r="B78" s="22" t="s">
        <v>89</v>
      </c>
      <c r="C78" s="23"/>
      <c r="D78" s="23"/>
      <c r="E78" s="3">
        <v>1</v>
      </c>
      <c r="F78" s="15">
        <f>$G$42+$E$78*$J$57</f>
        <v>317.33437500000002</v>
      </c>
      <c r="G78" s="16"/>
      <c r="H78" s="3">
        <f>$I$42+$J$42*$F$13</f>
        <v>55.68</v>
      </c>
      <c r="I78" s="3">
        <f>$H$42-$K$42*$F$13</f>
        <v>-45.45</v>
      </c>
      <c r="J78" s="5">
        <f>IF($F$78&gt;0,ABS($H$78)/$F$78,"N ≤ 0")</f>
        <v>0.17546160891015983</v>
      </c>
      <c r="K78" s="5">
        <f>IF($F$78&gt;0,ABS($I$78)/$F$78,"N ≤ 0")</f>
        <v>0.14322431977310998</v>
      </c>
    </row>
    <row r="79" spans="2:11" x14ac:dyDescent="0.25">
      <c r="B79" s="22" t="s">
        <v>90</v>
      </c>
      <c r="C79" s="23"/>
      <c r="D79" s="23"/>
      <c r="E79" s="3">
        <v>1</v>
      </c>
      <c r="F79" s="15">
        <f>$G$43+$E$79*$J$57</f>
        <v>379.97437500000001</v>
      </c>
      <c r="G79" s="16"/>
      <c r="H79" s="3">
        <f>$I$43+$J$43*$F$13</f>
        <v>376.79999999999995</v>
      </c>
      <c r="I79" s="3">
        <f>$H$43-$K$43*$F$13</f>
        <v>10.152000000000001</v>
      </c>
      <c r="J79" s="5">
        <f>IF($F$79&gt;0,ABS($H$79)/$F$79,"N ≤ 0")</f>
        <v>0.99164581822129438</v>
      </c>
      <c r="K79" s="5">
        <f>IF($F$79&gt;0,ABS($I$79)/$F$79,"N ≤ 0")</f>
        <v>2.6717591153350803E-2</v>
      </c>
    </row>
    <row r="80" spans="2:11" x14ac:dyDescent="0.25">
      <c r="B80" s="22" t="s">
        <v>92</v>
      </c>
      <c r="C80" s="23"/>
      <c r="D80" s="23"/>
      <c r="E80" s="3">
        <v>1</v>
      </c>
      <c r="F80" s="15">
        <f>$G$44+$E$80*$J$57</f>
        <v>362.69437499999998</v>
      </c>
      <c r="G80" s="16"/>
      <c r="H80" s="3">
        <f>$I$44+$J$44*$F$13</f>
        <v>376.79999999999995</v>
      </c>
      <c r="I80" s="3">
        <f>$H$44-$K$44*$F$13</f>
        <v>-10.152000000000001</v>
      </c>
      <c r="J80" s="5">
        <f>IF($F$80&gt;0,ABS($H$80)/$F$80,"N ≤ 0")</f>
        <v>1.0388912152276968</v>
      </c>
      <c r="K80" s="5">
        <f>IF($F$80&gt;0,ABS($I$80)/$F$80,"N ≤ 0")</f>
        <v>2.7990508537663428E-2</v>
      </c>
    </row>
    <row r="81" spans="2:11" x14ac:dyDescent="0.25">
      <c r="B81" s="22" t="s">
        <v>93</v>
      </c>
      <c r="C81" s="23"/>
      <c r="D81" s="23"/>
      <c r="E81" s="3">
        <v>1</v>
      </c>
      <c r="F81" s="15">
        <f>$G$45+$E$81*$J$57</f>
        <v>374.93437499999999</v>
      </c>
      <c r="G81" s="16"/>
      <c r="H81" s="3">
        <f>$I$45+$J$45*$F$13</f>
        <v>143.952</v>
      </c>
      <c r="I81" s="3">
        <f>$H$45-$K$45*$F$13</f>
        <v>33.840000000000003</v>
      </c>
      <c r="J81" s="5">
        <f>IF($F$81&gt;0,ABS($H$81)/$F$81,"N ≤ 0")</f>
        <v>0.3839391893581377</v>
      </c>
      <c r="K81" s="5">
        <f>IF($F$81&gt;0,ABS($I$81)/$F$81,"N ≤ 0")</f>
        <v>9.0255794764083727E-2</v>
      </c>
    </row>
    <row r="82" spans="2:11" x14ac:dyDescent="0.25">
      <c r="B82" s="22" t="s">
        <v>94</v>
      </c>
      <c r="C82" s="23"/>
      <c r="D82" s="23"/>
      <c r="E82" s="3">
        <v>1</v>
      </c>
      <c r="F82" s="15">
        <f>$G$46+$E$82*$J$57</f>
        <v>317.33437500000002</v>
      </c>
      <c r="G82" s="16"/>
      <c r="H82" s="3">
        <f>$I$46+$J$46*$F$13</f>
        <v>143.952</v>
      </c>
      <c r="I82" s="3">
        <f>$H$46-$K$46*$F$13</f>
        <v>-33.840000000000003</v>
      </c>
      <c r="J82" s="5">
        <f>IF($F$82&gt;0,ABS($H$82)/$F$82,"N ≤ 0")</f>
        <v>0.4536287630358356</v>
      </c>
      <c r="K82" s="5">
        <f>IF($F$82&gt;0,ABS($I$82)/$F$82,"N ≤ 0")</f>
        <v>0.10663830541522645</v>
      </c>
    </row>
    <row r="83" spans="2:11" x14ac:dyDescent="0.25">
      <c r="B83" s="22" t="s">
        <v>95</v>
      </c>
      <c r="C83" s="23"/>
      <c r="D83" s="23"/>
      <c r="E83" s="3">
        <v>1</v>
      </c>
      <c r="F83" s="15">
        <f>$G$47+$E$83*$J$57</f>
        <v>290.69437499999998</v>
      </c>
      <c r="G83" s="16"/>
      <c r="H83" s="3">
        <f>$I$47+$J$47*$F$13</f>
        <v>-288.48</v>
      </c>
      <c r="I83" s="3">
        <f>$H$47-$K$47*$F$13</f>
        <v>-10.152000000000001</v>
      </c>
      <c r="J83" s="5">
        <f>IF($F$83&gt;0,ABS($H$83)/$F$83,"N ≤ 0")</f>
        <v>0.99238246354096127</v>
      </c>
      <c r="K83" s="5">
        <f>IF($F$83&gt;0,ABS($I$83)/$F$83,"N ≤ 0")</f>
        <v>3.4923276379186907E-2</v>
      </c>
    </row>
    <row r="84" spans="2:11" x14ac:dyDescent="0.25">
      <c r="B84" s="22" t="s">
        <v>96</v>
      </c>
      <c r="C84" s="23"/>
      <c r="D84" s="23"/>
      <c r="E84" s="3">
        <v>1</v>
      </c>
      <c r="F84" s="15">
        <f>$G$48+$E$84*$J$57</f>
        <v>307.97437500000001</v>
      </c>
      <c r="G84" s="16"/>
      <c r="H84" s="3">
        <f>$I$48+$J$48*$F$13</f>
        <v>-288.48</v>
      </c>
      <c r="I84" s="3">
        <f>$H$48-$K$48*$F$13</f>
        <v>10.152000000000001</v>
      </c>
      <c r="J84" s="5">
        <f>IF($F$84&gt;0,ABS($H$84)/$F$84,"N ≤ 0")</f>
        <v>0.93670130834748833</v>
      </c>
      <c r="K84" s="5">
        <f>IF($F$84&gt;0,ABS($I$84)/$F$84,"N ≤ 0")</f>
        <v>3.2963781483443227E-2</v>
      </c>
    </row>
    <row r="85" spans="2:11" x14ac:dyDescent="0.25">
      <c r="B85" s="22" t="s">
        <v>97</v>
      </c>
      <c r="C85" s="23"/>
      <c r="D85" s="23"/>
      <c r="E85" s="3">
        <v>1</v>
      </c>
      <c r="F85" s="15">
        <f>$G$49+$E$85*$J$57</f>
        <v>295.734375</v>
      </c>
      <c r="G85" s="16"/>
      <c r="H85" s="3">
        <f>$I$49+$J$49*$F$13</f>
        <v>-55.632000000000005</v>
      </c>
      <c r="I85" s="3">
        <f>$H$49-$K$49*$F$13</f>
        <v>-33.840000000000003</v>
      </c>
      <c r="J85" s="5">
        <f>IF($F$85&gt;0,ABS($H$85)/$F$85,"N ≤ 0")</f>
        <v>0.1881147566967824</v>
      </c>
      <c r="K85" s="5">
        <f>IF($F$85&gt;0,ABS($I$85)/$F$85,"N ≤ 0")</f>
        <v>0.11442700903471233</v>
      </c>
    </row>
    <row r="86" spans="2:11" x14ac:dyDescent="0.25">
      <c r="B86" s="22" t="s">
        <v>98</v>
      </c>
      <c r="C86" s="23"/>
      <c r="D86" s="23"/>
      <c r="E86" s="3">
        <v>1</v>
      </c>
      <c r="F86" s="15">
        <f>$G$50+$E$86*$J$57</f>
        <v>353.33437500000002</v>
      </c>
      <c r="G86" s="16"/>
      <c r="H86" s="3">
        <f>$I$50+$J$50*$F$13</f>
        <v>-55.632000000000005</v>
      </c>
      <c r="I86" s="3">
        <f>$H$50-$K$50*$F$13</f>
        <v>33.840000000000003</v>
      </c>
      <c r="J86" s="5">
        <f>IF($F$86&gt;0,ABS($H$86)/$F$86,"N ≤ 0")</f>
        <v>0.15744859242749876</v>
      </c>
      <c r="K86" s="5">
        <f>IF($F$86&gt;0,ABS($I$86)/$F$86,"N ≤ 0")</f>
        <v>9.5773302555122189E-2</v>
      </c>
    </row>
    <row r="88" spans="2:11" ht="20.100000000000001" customHeight="1" x14ac:dyDescent="0.25">
      <c r="B88" s="19" t="s">
        <v>124</v>
      </c>
      <c r="C88" s="18"/>
      <c r="D88" s="18"/>
      <c r="E88" s="18"/>
      <c r="F88" s="18"/>
      <c r="G88" s="18"/>
      <c r="H88" s="18"/>
      <c r="I88" s="18"/>
      <c r="J88" s="18"/>
      <c r="K88" s="18"/>
    </row>
    <row r="89" spans="2:11" ht="15" customHeight="1" x14ac:dyDescent="0.25">
      <c r="B89" s="24" t="s">
        <v>125</v>
      </c>
      <c r="C89" s="25"/>
      <c r="D89" s="25"/>
      <c r="E89" s="25"/>
      <c r="F89" s="25"/>
      <c r="G89" s="25"/>
      <c r="H89" s="25"/>
      <c r="I89" s="25"/>
      <c r="J89" s="25"/>
      <c r="K89" s="25"/>
    </row>
    <row r="90" spans="2:11" ht="20.100000000000001" customHeight="1" x14ac:dyDescent="0.25">
      <c r="B90" s="1" t="s">
        <v>63</v>
      </c>
      <c r="C90" s="1" t="s">
        <v>114</v>
      </c>
      <c r="D90" s="1" t="s">
        <v>117</v>
      </c>
      <c r="E90" s="1" t="s">
        <v>126</v>
      </c>
      <c r="F90" s="1" t="s">
        <v>127</v>
      </c>
      <c r="G90" s="1" t="s">
        <v>128</v>
      </c>
      <c r="H90" s="1" t="s">
        <v>129</v>
      </c>
      <c r="I90" s="1" t="s">
        <v>130</v>
      </c>
      <c r="J90" s="1" t="s">
        <v>131</v>
      </c>
      <c r="K90" s="1" t="s">
        <v>49</v>
      </c>
    </row>
    <row r="91" spans="2:11" ht="30" customHeight="1" x14ac:dyDescent="0.25">
      <c r="B91" s="2"/>
      <c r="C91" s="2"/>
      <c r="D91" s="2"/>
      <c r="E91" s="2"/>
      <c r="F91" s="2" t="s">
        <v>132</v>
      </c>
      <c r="G91" s="2" t="s">
        <v>133</v>
      </c>
      <c r="H91" s="2" t="s">
        <v>134</v>
      </c>
      <c r="I91" s="2"/>
      <c r="J91" s="2" t="s">
        <v>135</v>
      </c>
      <c r="K91" s="2"/>
    </row>
    <row r="92" spans="2:11" ht="15.75" x14ac:dyDescent="0.25">
      <c r="B92" s="7" t="s">
        <v>71</v>
      </c>
      <c r="C92" s="10">
        <f>$F$63</f>
        <v>485.55140625000001</v>
      </c>
      <c r="D92" s="5">
        <f>$J$63</f>
        <v>0.16607922243042619</v>
      </c>
      <c r="E92" s="11" t="str">
        <f>IF($F$63&lt;=0,"N ≤ 0 : soulèvement",IF($J$63&lt;=$E$18/6+0.000001,"e &lt; A/6 =&gt; Diagramme Trapézoïdal",IF($J$63&lt;$E$18/2,"e &gt; A/6 =&gt; Diagramme triangulaire","e ≥ A/2 : instable")))</f>
        <v>e &lt; A/6 =&gt; Diagramme Trapézoïdal</v>
      </c>
      <c r="F92" s="3">
        <f>IF($F$63&lt;=0,0,IF($J$63&lt;=$E$18/6+0.000001,$F$63/($E$18*$F$18)*(1+6*$J$63/$E$18),IF($J$63&lt;$E$18/2,2*$F$63/(3*$F$18*($E$18/2-$J$63)),1000000000)))/100</f>
        <v>0.87470178437265222</v>
      </c>
      <c r="G92" s="3">
        <f>IF($F$63&lt;=0,0,IF($J$63&lt;=$E$18/6+0.000001,$F$63/($E$18*$F$18)*(1-6*$J$63/$E$18),0))/100</f>
        <v>0.4094011081893314</v>
      </c>
      <c r="H92" s="10">
        <f>(3*$F$92+$G$92)/4</f>
        <v>0.7583766153268221</v>
      </c>
      <c r="I92" s="3">
        <f t="shared" ref="I92:I101" si="0">$C$10</f>
        <v>3</v>
      </c>
      <c r="J92" s="12">
        <f>$H$92/$I$92</f>
        <v>0.25279220510894068</v>
      </c>
      <c r="K92" s="9" t="str">
        <f>IF($H$92&lt;=$I$92+0.00001,"OK","NON OK")</f>
        <v>OK</v>
      </c>
    </row>
    <row r="93" spans="2:11" ht="15.75" x14ac:dyDescent="0.25">
      <c r="B93" s="7" t="s">
        <v>74</v>
      </c>
      <c r="C93" s="10">
        <f>$F$64</f>
        <v>500.55140625000001</v>
      </c>
      <c r="D93" s="5">
        <f>$J$64</f>
        <v>0.1802811836571481</v>
      </c>
      <c r="E93" s="11" t="str">
        <f>IF($F$64&lt;=0,"N ≤ 0 : soulèvement",IF($J$64&lt;=$E$18/6+0.000001,"e &lt; A/6 =&gt; Diagramme Trapézoïdal",IF($J$64&lt;$E$18/2,"e &gt; A/6 =&gt; Diagramme triangulaire","e ≥ A/2 : instable")))</f>
        <v>e &lt; A/6 =&gt; Diagramme Trapézoïdal</v>
      </c>
      <c r="F93" s="3">
        <f>IF($F$64&lt;=0,0,IF($J$64&lt;=$E$18/6+0.000001,$F$64/($E$18*$F$18)*(1+6*$J$64/$E$18),IF($J$64&lt;$E$18/2,2*$F$64/(3*$F$18*($E$18/2-$J$64)),1000000000)))/100</f>
        <v>0.92223296393688958</v>
      </c>
      <c r="G93" s="3">
        <f>IF($F$64&lt;=0,0,IF($J$64&lt;=$E$18/6+0.000001,$F$64/($E$18*$F$18)*(1-6*$J$64/$E$18),0))/100</f>
        <v>0.40153935011269726</v>
      </c>
      <c r="H93" s="10">
        <f>(3*$F$93+$G$93)/4</f>
        <v>0.79205956048084147</v>
      </c>
      <c r="I93" s="3">
        <f t="shared" si="0"/>
        <v>3</v>
      </c>
      <c r="J93" s="12">
        <f>$H$93/$I$93</f>
        <v>0.26401985349361384</v>
      </c>
      <c r="K93" s="9" t="str">
        <f>IF($H$93&lt;=$I$93+0.00001,"OK","NON OK")</f>
        <v>OK</v>
      </c>
    </row>
    <row r="94" spans="2:11" ht="15.75" x14ac:dyDescent="0.25">
      <c r="B94" s="7" t="s">
        <v>75</v>
      </c>
      <c r="C94" s="10">
        <f>$F$65</f>
        <v>298.05140625000001</v>
      </c>
      <c r="D94" s="5">
        <f>$J$65</f>
        <v>0.36758759630915178</v>
      </c>
      <c r="E94" s="11" t="str">
        <f>IF($F$65&lt;=0,"N ≤ 0 : soulèvement",IF($J$65&lt;=$E$18/6+0.000001,"e &lt; A/6 =&gt; Diagramme Trapézoïdal",IF($J$65&lt;$E$18/2,"e &gt; A/6 =&gt; Diagramme triangulaire","e ≥ A/2 : instable")))</f>
        <v>e &lt; A/6 =&gt; Diagramme Trapézoïdal</v>
      </c>
      <c r="F94" s="3">
        <f>IF($F$65&lt;=0,0,IF($J$65&lt;=$E$18/6+0.000001,$F$65/($E$18*$F$18)*(1+6*$J$65/$E$18),IF($J$65&lt;$E$18/2,2*$F$65/(3*$F$18*($E$18/2-$J$65)),1000000000)))/100</f>
        <v>0.71020351239669421</v>
      </c>
      <c r="G94" s="3">
        <f>IF($F$65&lt;=0,0,IF($J$65&lt;=$E$18/6+0.000001,$F$65/($E$18*$F$18)*(1-6*$J$65/$E$18),0))/100</f>
        <v>7.8031611570247919E-2</v>
      </c>
      <c r="H94" s="10">
        <f>(3*$F$94+$G$94)/4</f>
        <v>0.55216053719008262</v>
      </c>
      <c r="I94" s="3">
        <f t="shared" si="0"/>
        <v>3</v>
      </c>
      <c r="J94" s="12">
        <f>$H$94/$I$94</f>
        <v>0.18405351239669421</v>
      </c>
      <c r="K94" s="9" t="str">
        <f>IF($H$94&lt;=$I$94+0.00001,"OK","NON OK")</f>
        <v>OK</v>
      </c>
    </row>
    <row r="95" spans="2:11" ht="15.75" x14ac:dyDescent="0.25">
      <c r="B95" s="7" t="s">
        <v>76</v>
      </c>
      <c r="C95" s="10">
        <f>$F$66</f>
        <v>380.55140625000001</v>
      </c>
      <c r="D95" s="5">
        <f>$J$66</f>
        <v>0.13622338309254375</v>
      </c>
      <c r="E95" s="11" t="str">
        <f>IF($F$66&lt;=0,"N ≤ 0 : soulèvement",IF($J$66&lt;=$E$18/6+0.000001,"e &lt; A/6 =&gt; Diagramme Trapézoïdal",IF($J$66&lt;$E$18/2,"e &gt; A/6 =&gt; Diagramme triangulaire","e ≥ A/2 : instable")))</f>
        <v>e &lt; A/6 =&gt; Diagramme Trapézoïdal</v>
      </c>
      <c r="F95" s="3">
        <f>IF($F$66&lt;=0,0,IF($J$66&lt;=$E$18/6+0.000001,$F$66/($E$18*$F$18)*(1+6*$J$66/$E$18),IF($J$66&lt;$E$18/2,2*$F$66/(3*$F$18*($E$18/2-$J$66)),1000000000)))/100</f>
        <v>0.65276940270473327</v>
      </c>
      <c r="G95" s="3">
        <f>IF($F$66&lt;=0,0,IF($J$66&lt;=$E$18/6+0.000001,$F$66/($E$18*$F$18)*(1-6*$J$66/$E$18),0))/100</f>
        <v>0.35364753944402705</v>
      </c>
      <c r="H95" s="10">
        <f>(3*$F$95+$G$95)/4</f>
        <v>0.57798893688955677</v>
      </c>
      <c r="I95" s="3">
        <f t="shared" si="0"/>
        <v>3</v>
      </c>
      <c r="J95" s="12">
        <f>$H$95/$I$95</f>
        <v>0.1926629789631856</v>
      </c>
      <c r="K95" s="9" t="str">
        <f>IF($H$95&lt;=$I$95+0.00001,"OK","NON OK")</f>
        <v>OK</v>
      </c>
    </row>
    <row r="96" spans="2:11" ht="15.75" x14ac:dyDescent="0.25">
      <c r="B96" s="7" t="s">
        <v>77</v>
      </c>
      <c r="C96" s="10">
        <f>$F$67</f>
        <v>183.83437499999999</v>
      </c>
      <c r="D96" s="5">
        <f>$J$67</f>
        <v>0.66908052424906928</v>
      </c>
      <c r="E96" s="11" t="str">
        <f>IF($F$67&lt;=0,"N ≤ 0 : soulèvement",IF($J$67&lt;=$E$18/6+0.000001,"e &lt; A/6 =&gt; Diagramme Trapézoïdal",IF($J$67&lt;$E$18/2,"e &gt; A/6 =&gt; Diagramme triangulaire","e ≥ A/2 : instable")))</f>
        <v>e &gt; A/6 =&gt; Diagramme triangulaire</v>
      </c>
      <c r="F96" s="3">
        <f>IF($F$67&lt;=0,0,IF($J$67&lt;=$E$18/6+0.000001,$F$67/($E$18*$F$18)*(1+6*$J$67/$E$18),IF($J$67&lt;$E$18/2,2*$F$67/(3*$F$18*($E$18/2-$J$67)),1000000000)))/100</f>
        <v>0.63131717740896076</v>
      </c>
      <c r="G96" s="3">
        <f>IF($F$67&lt;=0,0,IF($J$67&lt;=$E$18/6+0.000001,$F$67/($E$18*$F$18)*(1-6*$J$67/$E$18),0))/100</f>
        <v>0</v>
      </c>
      <c r="H96" s="10">
        <f>(3*$F$96+$G$96)/4</f>
        <v>0.47348788305672057</v>
      </c>
      <c r="I96" s="3">
        <f t="shared" si="0"/>
        <v>3</v>
      </c>
      <c r="J96" s="12">
        <f>$H$96/$I$96</f>
        <v>0.15782929435224019</v>
      </c>
      <c r="K96" s="9" t="str">
        <f>IF($H$96&lt;=$I$96+0.00001,"OK","NON OK")</f>
        <v>OK</v>
      </c>
    </row>
    <row r="97" spans="2:11" ht="15.75" x14ac:dyDescent="0.25">
      <c r="B97" s="7" t="s">
        <v>78</v>
      </c>
      <c r="C97" s="10">
        <f>$F$68</f>
        <v>266.33437500000002</v>
      </c>
      <c r="D97" s="5">
        <f>$J$68</f>
        <v>0.14417966137491639</v>
      </c>
      <c r="E97" s="11" t="str">
        <f>IF($F$68&lt;=0,"N ≤ 0 : soulèvement",IF($J$68&lt;=$E$18/6+0.000001,"e &lt; A/6 =&gt; Diagramme Trapézoïdal",IF($J$68&lt;$E$18/2,"e &gt; A/6 =&gt; Diagramme triangulaire","e ≥ A/2 : instable")))</f>
        <v>e &lt; A/6 =&gt; Diagramme Trapézoïdal</v>
      </c>
      <c r="F97" s="3">
        <f>IF($F$68&lt;=0,0,IF($J$68&lt;=$E$18/6+0.000001,$F$68/($E$18*$F$18)*(1+6*$J$68/$E$18),IF($J$68&lt;$E$18/2,2*$F$68/(3*$F$18*($E$18/2-$J$68)),1000000000)))/100</f>
        <v>0.46296356123215632</v>
      </c>
      <c r="G97" s="3">
        <f>IF($F$68&lt;=0,0,IF($J$68&lt;=$E$18/6+0.000001,$F$68/($E$18*$F$18)*(1-6*$J$68/$E$18),0))/100</f>
        <v>0.24139181066867024</v>
      </c>
      <c r="H97" s="10">
        <f>(3*$F$97+$G$97)/4</f>
        <v>0.40757062359128482</v>
      </c>
      <c r="I97" s="3">
        <f t="shared" si="0"/>
        <v>3</v>
      </c>
      <c r="J97" s="12">
        <f>$H$97/$I$97</f>
        <v>0.13585687453042827</v>
      </c>
      <c r="K97" s="9" t="str">
        <f>IF($H$97&lt;=$I$97+0.00001,"OK","NON OK")</f>
        <v>OK</v>
      </c>
    </row>
    <row r="98" spans="2:11" ht="15.75" x14ac:dyDescent="0.25">
      <c r="B98" s="7" t="s">
        <v>79</v>
      </c>
      <c r="C98" s="10">
        <f>$F$69</f>
        <v>352.80140625000001</v>
      </c>
      <c r="D98" s="5">
        <f>$J$69</f>
        <v>0.19132576799359058</v>
      </c>
      <c r="E98" s="11" t="str">
        <f>IF($F$69&lt;=0,"N ≤ 0 : soulèvement",IF($J$69&lt;=$E$18/6+0.000001,"e &lt; A/6 =&gt; Diagramme Trapézoïdal",IF($J$69&lt;$E$18/2,"e &gt; A/6 =&gt; Diagramme triangulaire","e ≥ A/2 : instable")))</f>
        <v>e &lt; A/6 =&gt; Diagramme Trapézoïdal</v>
      </c>
      <c r="F98" s="3">
        <f>IF($F$69&lt;=0,0,IF($J$69&lt;=$E$18/6+0.000001,$F$69/($E$18*$F$18)*(1+6*$J$69/$E$18),IF($J$69&lt;$E$18/2,2*$F$69/(3*$F$18*($E$18/2-$J$69)),1000000000)))/100</f>
        <v>0.6612550525920361</v>
      </c>
      <c r="G98" s="3">
        <f>IF($F$69&lt;=0,0,IF($J$69&lt;=$E$18/6+0.000001,$F$69/($E$18*$F$18)*(1-6*$J$69/$E$18),0))/100</f>
        <v>0.27177345980465817</v>
      </c>
      <c r="H98" s="10">
        <f>(3*$F$98+$G$98)/4</f>
        <v>0.56388465439519164</v>
      </c>
      <c r="I98" s="3">
        <f t="shared" si="0"/>
        <v>3</v>
      </c>
      <c r="J98" s="12">
        <f>$H$98/$I$98</f>
        <v>0.18796155146506388</v>
      </c>
      <c r="K98" s="9" t="str">
        <f>IF($H$98&lt;=$I$98+0.00001,"OK","NON OK")</f>
        <v>OK</v>
      </c>
    </row>
    <row r="99" spans="2:11" ht="15.75" x14ac:dyDescent="0.25">
      <c r="B99" s="7" t="s">
        <v>80</v>
      </c>
      <c r="C99" s="10">
        <f>$F$70</f>
        <v>427.05140625000001</v>
      </c>
      <c r="D99" s="5">
        <f>$J$70</f>
        <v>0.18208580714631473</v>
      </c>
      <c r="E99" s="11" t="str">
        <f>IF($F$70&lt;=0,"N ≤ 0 : soulèvement",IF($J$70&lt;=$E$18/6+0.000001,"e &lt; A/6 =&gt; Diagramme Trapézoïdal",IF($J$70&lt;$E$18/2,"e &gt; A/6 =&gt; Diagramme triangulaire","e ≥ A/2 : instable")))</f>
        <v>e &lt; A/6 =&gt; Diagramme Trapézoïdal</v>
      </c>
      <c r="F99" s="3">
        <f>IF($F$70&lt;=0,0,IF($J$70&lt;=$E$18/6+0.000001,$F$70/($E$18*$F$18)*(1+6*$J$70/$E$18),IF($J$70&lt;$E$18/2,2*$F$70/(3*$F$18*($E$18/2-$J$70)),1000000000)))/100</f>
        <v>0.78903747182569506</v>
      </c>
      <c r="G99" s="3">
        <f>IF($F$70&lt;=0,0,IF($J$70&lt;=$E$18/6+0.000001,$F$70/($E$18*$F$18)*(1-6*$J$70/$E$18),0))/100</f>
        <v>0.34035467693463561</v>
      </c>
      <c r="H99" s="10">
        <f>(3*$F$99+$G$99)/4</f>
        <v>0.6768667731029302</v>
      </c>
      <c r="I99" s="3">
        <f t="shared" si="0"/>
        <v>3</v>
      </c>
      <c r="J99" s="12">
        <f>$H$99/$I$99</f>
        <v>0.22562225770097674</v>
      </c>
      <c r="K99" s="9" t="str">
        <f>IF($H$99&lt;=$I$99+0.00001,"OK","NON OK")</f>
        <v>OK</v>
      </c>
    </row>
    <row r="100" spans="2:11" ht="15.75" x14ac:dyDescent="0.25">
      <c r="B100" s="7" t="s">
        <v>81</v>
      </c>
      <c r="C100" s="10">
        <f>$F$71</f>
        <v>366.30140625000001</v>
      </c>
      <c r="D100" s="5">
        <f>$J$71</f>
        <v>0.16068734379858798</v>
      </c>
      <c r="E100" s="11" t="str">
        <f>IF($F$71&lt;=0,"N ≤ 0 : soulèvement",IF($J$71&lt;=$E$18/6+0.000001,"e &lt; A/6 =&gt; Diagramme Trapézoïdal",IF($J$71&lt;$E$18/2,"e &gt; A/6 =&gt; Diagramme triangulaire","e ≥ A/2 : instable")))</f>
        <v>e &lt; A/6 =&gt; Diagramme Trapézoïdal</v>
      </c>
      <c r="F100" s="3">
        <f>IF($F$71&lt;=0,0,IF($J$71&lt;=$E$18/6+0.000001,$F$71/($E$18*$F$18)*(1+6*$J$71/$E$18),IF($J$71&lt;$E$18/2,2*$F$71/(3*$F$18*($E$18/2-$J$71)),1000000000)))/100</f>
        <v>0.65417947032306545</v>
      </c>
      <c r="G100" s="3">
        <f>IF($F$71&lt;=0,0,IF($J$71&lt;=$E$18/6+0.000001,$F$71/($E$18*$F$18)*(1-6*$J$71/$E$18),0))/100</f>
        <v>0.31455152141247189</v>
      </c>
      <c r="H100" s="10">
        <f>(3*$F$100+$G$100)/4</f>
        <v>0.569272483095417</v>
      </c>
      <c r="I100" s="3">
        <f t="shared" si="0"/>
        <v>3</v>
      </c>
      <c r="J100" s="12">
        <f>$H$100/$I$100</f>
        <v>0.189757494365139</v>
      </c>
      <c r="K100" s="9" t="str">
        <f>IF($H$100&lt;=$I$100+0.00001,"OK","NON OK")</f>
        <v>OK</v>
      </c>
    </row>
    <row r="101" spans="2:11" ht="15.75" x14ac:dyDescent="0.25">
      <c r="B101" s="7" t="s">
        <v>82</v>
      </c>
      <c r="C101" s="10">
        <f>$F$72</f>
        <v>440.55140625000001</v>
      </c>
      <c r="D101" s="5">
        <f>$J$72</f>
        <v>0.19611786223869307</v>
      </c>
      <c r="E101" s="11" t="str">
        <f>IF($F$72&lt;=0,"N ≤ 0 : soulèvement",IF($J$72&lt;=$E$18/6+0.000001,"e &lt; A/6 =&gt; Diagramme Trapézoïdal",IF($J$72&lt;$E$18/2,"e &gt; A/6 =&gt; Diagramme triangulaire","e ≥ A/2 : instable")))</f>
        <v>e &lt; A/6 =&gt; Diagramme Trapézoïdal</v>
      </c>
      <c r="F101" s="3">
        <f>IF($F$72&lt;=0,0,IF($J$72&lt;=$E$18/6+0.000001,$F$72/($E$18*$F$18)*(1+6*$J$72/$E$18),IF($J$72&lt;$E$18/2,2*$F$72/(3*$F$18*($E$18/2-$J$72)),1000000000)))/100</f>
        <v>0.83181553343350867</v>
      </c>
      <c r="G101" s="3">
        <f>IF($F$72&lt;=0,0,IF($J$72&lt;=$E$18/6+0.000001,$F$72/($E$18*$F$18)*(1-6*$J$72/$E$18),0))/100</f>
        <v>0.33327909466566491</v>
      </c>
      <c r="H101" s="10">
        <f>(3*$F$101+$G$101)/4</f>
        <v>0.70718142374154769</v>
      </c>
      <c r="I101" s="3">
        <f t="shared" si="0"/>
        <v>3</v>
      </c>
      <c r="J101" s="12">
        <f>$H$101/$I$101</f>
        <v>0.23572714124718255</v>
      </c>
      <c r="K101" s="9" t="str">
        <f>IF($H$101&lt;=$I$101+0.00001,"OK","NON OK")</f>
        <v>OK</v>
      </c>
    </row>
    <row r="102" spans="2:11" ht="15.75" x14ac:dyDescent="0.25">
      <c r="B102" s="7" t="s">
        <v>83</v>
      </c>
      <c r="C102" s="10">
        <f>$F$73</f>
        <v>356.33437500000002</v>
      </c>
      <c r="D102" s="5">
        <f>$J$73</f>
        <v>0.16164592596490301</v>
      </c>
      <c r="E102" s="11" t="str">
        <f>IF($F$73&lt;=0,"N ≤ 0 : soulèvement",IF($J$73&lt;=$E$18/6+0.000001,"e &lt; A/6 =&gt; Diagramme Trapézoïdal",IF($J$73&lt;$E$18/2,"e &gt; A/6 =&gt; Diagramme triangulaire","e ≥ A/2 : instable")))</f>
        <v>e &lt; A/6 =&gt; Diagramme Trapézoïdal</v>
      </c>
      <c r="F102" s="3">
        <f>IF($F$73&lt;=0,0,IF($J$73&lt;=$E$18/6+0.000001,$F$73/($E$18*$F$18)*(1+6*$J$73/$E$18),IF($J$73&lt;$E$18/2,2*$F$73/(3*$F$18*($E$18/2-$J$73)),1000000000)))/100</f>
        <v>0.63736476333583769</v>
      </c>
      <c r="G102" s="3">
        <f>IF($F$73&lt;=0,0,IF($J$73&lt;=$E$18/6+0.000001,$F$73/($E$18*$F$18)*(1-6*$J$73/$E$18),0))/100</f>
        <v>0.30500713749060865</v>
      </c>
      <c r="H102" s="10">
        <f>(3*$F$102+$G$102)/4</f>
        <v>0.55427535687453044</v>
      </c>
      <c r="I102" s="3">
        <f t="shared" ref="I102:I107" si="1">$B$10</f>
        <v>2</v>
      </c>
      <c r="J102" s="12">
        <f>$H$102/$I$102</f>
        <v>0.27713767843726522</v>
      </c>
      <c r="K102" s="9" t="str">
        <f>IF($H$102&lt;=$I$102+0.00001,"OK","NON OK")</f>
        <v>OK</v>
      </c>
    </row>
    <row r="103" spans="2:11" ht="15.75" x14ac:dyDescent="0.25">
      <c r="B103" s="7" t="s">
        <v>85</v>
      </c>
      <c r="C103" s="10">
        <f>$F$74</f>
        <v>366.33437500000002</v>
      </c>
      <c r="D103" s="5">
        <f>$J$74</f>
        <v>0.1747037798459399</v>
      </c>
      <c r="E103" s="11" t="str">
        <f>IF($F$74&lt;=0,"N ≤ 0 : soulèvement",IF($J$74&lt;=$E$18/6+0.000001,"e &lt; A/6 =&gt; Diagramme Trapézoïdal",IF($J$74&lt;$E$18/2,"e &gt; A/6 =&gt; Diagramme triangulaire","e ≥ A/2 : instable")))</f>
        <v>e &lt; A/6 =&gt; Diagramme Trapézoïdal</v>
      </c>
      <c r="F103" s="3">
        <f>IF($F$74&lt;=0,0,IF($J$74&lt;=$E$18/6+0.000001,$F$74/($E$18*$F$18)*(1+6*$J$74/$E$18),IF($J$74&lt;$E$18/2,2*$F$74/(3*$F$18*($E$18/2-$J$74)),1000000000)))/100</f>
        <v>0.66905221637866275</v>
      </c>
      <c r="G103" s="3">
        <f>IF($F$74&lt;=0,0,IF($J$74&lt;=$E$18/6+0.000001,$F$74/($E$18*$F$18)*(1-6*$J$74/$E$18),0))/100</f>
        <v>0.29976596543951922</v>
      </c>
      <c r="H103" s="10">
        <f>(3*$F$103+$G$103)/4</f>
        <v>0.57673065364387688</v>
      </c>
      <c r="I103" s="3">
        <f t="shared" si="1"/>
        <v>2</v>
      </c>
      <c r="J103" s="12">
        <f>$H$103/$I$103</f>
        <v>0.28836532682193844</v>
      </c>
      <c r="K103" s="9" t="str">
        <f>IF($H$103&lt;=$I$103+0.00001,"OK","NON OK")</f>
        <v>OK</v>
      </c>
    </row>
    <row r="104" spans="2:11" ht="15.75" x14ac:dyDescent="0.25">
      <c r="B104" s="7" t="s">
        <v>86</v>
      </c>
      <c r="C104" s="10">
        <f>$F$75</f>
        <v>231.33437499999999</v>
      </c>
      <c r="D104" s="5">
        <f>$J$75</f>
        <v>0.2991340997203723</v>
      </c>
      <c r="E104" s="11" t="str">
        <f>IF($F$75&lt;=0,"N ≤ 0 : soulèvement",IF($J$75&lt;=$E$18/6+0.000001,"e &lt; A/6 =&gt; Diagramme Trapézoïdal",IF($J$75&lt;$E$18/2,"e &gt; A/6 =&gt; Diagramme triangulaire","e ≥ A/2 : instable")))</f>
        <v>e &lt; A/6 =&gt; Diagramme Trapézoïdal</v>
      </c>
      <c r="F104" s="3">
        <f>IF($F$75&lt;=0,0,IF($J$75&lt;=$E$18/6+0.000001,$F$75/($E$18*$F$18)*(1+6*$J$75/$E$18),IF($J$75&lt;$E$18/2,2*$F$75/(3*$F$18*($E$18/2-$J$75)),1000000000)))/100</f>
        <v>0.50554207362885051</v>
      </c>
      <c r="G104" s="3">
        <f>IF($F$75&lt;=0,0,IF($J$75&lt;=$E$18/6+0.000001,$F$75/($E$18*$F$18)*(1-6*$J$75/$E$18),0))/100</f>
        <v>0.10625131480090155</v>
      </c>
      <c r="H104" s="10">
        <f>(3*$F$104+$G$104)/4</f>
        <v>0.40571938392186324</v>
      </c>
      <c r="I104" s="3">
        <f t="shared" si="1"/>
        <v>2</v>
      </c>
      <c r="J104" s="12">
        <f>$H$104/$I$104</f>
        <v>0.20285969196093162</v>
      </c>
      <c r="K104" s="9" t="str">
        <f>IF($H$104&lt;=$I$104+0.00001,"OK","NON OK")</f>
        <v>OK</v>
      </c>
    </row>
    <row r="105" spans="2:11" ht="15.75" x14ac:dyDescent="0.25">
      <c r="B105" s="7" t="s">
        <v>87</v>
      </c>
      <c r="C105" s="10">
        <f>$F$76</f>
        <v>286.33437500000002</v>
      </c>
      <c r="D105" s="5">
        <f>$J$76</f>
        <v>0.13410894168749385</v>
      </c>
      <c r="E105" s="11" t="str">
        <f>IF($F$76&lt;=0,"N ≤ 0 : soulèvement",IF($J$76&lt;=$E$18/6+0.000001,"e &lt; A/6 =&gt; Diagramme Trapézoïdal",IF($J$76&lt;$E$18/2,"e &gt; A/6 =&gt; Diagramme triangulaire","e ≥ A/2 : instable")))</f>
        <v>e &lt; A/6 =&gt; Diagramme Trapézoïdal</v>
      </c>
      <c r="F105" s="3">
        <f>IF($F$76&lt;=0,0,IF($J$76&lt;=$E$18/6+0.000001,$F$76/($E$18*$F$18)*(1+6*$J$76/$E$18),IF($J$76&lt;$E$18/2,2*$F$76/(3*$F$18*($E$18/2-$J$76)),1000000000)))/100</f>
        <v>0.48940984222389189</v>
      </c>
      <c r="G105" s="3">
        <f>IF($F$76&lt;=0,0,IF($J$76&lt;=$E$18/6+0.000001,$F$76/($E$18*$F$18)*(1-6*$J$76/$E$18),0))/100</f>
        <v>0.26783809166040573</v>
      </c>
      <c r="H105" s="10">
        <f>(3*$F$105+$G$105)/4</f>
        <v>0.43401690458302034</v>
      </c>
      <c r="I105" s="3">
        <f t="shared" si="1"/>
        <v>2</v>
      </c>
      <c r="J105" s="12">
        <f>$H$105/$I$105</f>
        <v>0.21700845229151017</v>
      </c>
      <c r="K105" s="9" t="str">
        <f>IF($H$105&lt;=$I$105+0.00001,"OK","NON OK")</f>
        <v>OK</v>
      </c>
    </row>
    <row r="106" spans="2:11" ht="15.75" x14ac:dyDescent="0.25">
      <c r="B106" s="7" t="s">
        <v>88</v>
      </c>
      <c r="C106" s="10">
        <f>$F$77</f>
        <v>267.83437500000002</v>
      </c>
      <c r="D106" s="5">
        <f>$J$77</f>
        <v>0.15367706255031674</v>
      </c>
      <c r="E106" s="11" t="str">
        <f>IF($F$77&lt;=0,"N ≤ 0 : soulèvement",IF($J$77&lt;=$E$18/6+0.000001,"e &lt; A/6 =&gt; Diagramme Trapézoïdal",IF($J$77&lt;$E$18/2,"e &gt; A/6 =&gt; Diagramme triangulaire","e ≥ A/2 : instable")))</f>
        <v>e &lt; A/6 =&gt; Diagramme Trapézoïdal</v>
      </c>
      <c r="F106" s="3">
        <f>IF($F$77&lt;=0,0,IF($J$77&lt;=$E$18/6+0.000001,$F$77/($E$18*$F$18)*(1+6*$J$77/$E$18),IF($J$77&lt;$E$18/2,2*$F$77/(3*$F$18*($E$18/2-$J$77)),1000000000)))/100</f>
        <v>0.47290976709241178</v>
      </c>
      <c r="G106" s="3">
        <f>IF($F$77&lt;=0,0,IF($J$77&lt;=$E$18/6+0.000001,$F$77/($E$18*$F$18)*(1-6*$J$77/$E$18),0))/100</f>
        <v>0.23541254695717517</v>
      </c>
      <c r="H106" s="10">
        <f>(3*$F$106+$G$106)/4</f>
        <v>0.41353546205860259</v>
      </c>
      <c r="I106" s="3">
        <f t="shared" si="1"/>
        <v>2</v>
      </c>
      <c r="J106" s="12">
        <f>$H$106/$I$106</f>
        <v>0.20676773102930129</v>
      </c>
      <c r="K106" s="9" t="str">
        <f>IF($H$106&lt;=$I$106+0.00001,"OK","NON OK")</f>
        <v>OK</v>
      </c>
    </row>
    <row r="107" spans="2:11" ht="15.75" x14ac:dyDescent="0.25">
      <c r="B107" s="7" t="s">
        <v>89</v>
      </c>
      <c r="C107" s="10">
        <f>$F$78</f>
        <v>317.33437500000002</v>
      </c>
      <c r="D107" s="5">
        <f>$J$78</f>
        <v>0.17546160891015983</v>
      </c>
      <c r="E107" s="11" t="str">
        <f>IF($F$78&lt;=0,"N ≤ 0 : soulèvement",IF($J$78&lt;=$E$18/6+0.000001,"e &lt; A/6 =&gt; Diagramme Trapézoïdal",IF($J$78&lt;$E$18/2,"e &gt; A/6 =&gt; Diagramme triangulaire","e ≥ A/2 : instable")))</f>
        <v>e &lt; A/6 =&gt; Diagramme Trapézoïdal</v>
      </c>
      <c r="F107" s="3">
        <f>IF($F$78&lt;=0,0,IF($J$78&lt;=$E$18/6+0.000001,$F$78/($E$18*$F$18)*(1+6*$J$78/$E$18),IF($J$78&lt;$E$18/2,2*$F$78/(3*$F$18*($E$18/2-$J$78)),1000000000)))/100</f>
        <v>0.58025522163786625</v>
      </c>
      <c r="G107" s="3">
        <f>IF($F$78&lt;=0,0,IF($J$78&lt;=$E$18/6+0.000001,$F$78/($E$18*$F$18)*(1-6*$J$78/$E$18),0))/100</f>
        <v>0.25897618332081146</v>
      </c>
      <c r="H107" s="10">
        <f>(3*$F$107+$G$107)/4</f>
        <v>0.49993546205860256</v>
      </c>
      <c r="I107" s="3">
        <f t="shared" si="1"/>
        <v>2</v>
      </c>
      <c r="J107" s="12">
        <f>$H$107/$I$107</f>
        <v>0.24996773102930128</v>
      </c>
      <c r="K107" s="9" t="str">
        <f>IF($H$107&lt;=$I$107+0.00001,"OK","NON OK")</f>
        <v>OK</v>
      </c>
    </row>
    <row r="108" spans="2:11" ht="28.5" x14ac:dyDescent="0.25">
      <c r="B108" s="7" t="s">
        <v>90</v>
      </c>
      <c r="C108" s="10">
        <f>$F$79</f>
        <v>379.97437500000001</v>
      </c>
      <c r="D108" s="5">
        <f>$J$79</f>
        <v>0.99164581822129438</v>
      </c>
      <c r="E108" s="11" t="str">
        <f>IF($F$79&lt;=0,"N ≤ 0 : soulèvement",IF($J$79&lt;=$E$18/6+0.000001,"e &lt; A/6 =&gt; Diagramme Trapézoïdal",IF($J$79&lt;$E$18/2,"e &gt; A/6 =&gt; Diagramme triangulaire","e ≥ A/2 : instable")))</f>
        <v>e &gt; A/6 =&gt; Diagramme triangulaire</v>
      </c>
      <c r="F108" s="3">
        <f>IF($F$79&lt;=0,0,IF($J$79&lt;=$E$18/6+0.000001,$F$79/($E$18*$F$18)*(1+6*$J$79/$E$18),IF($J$79&lt;$E$18/2,2*$F$79/(3*$F$18*($E$18/2-$J$79)),1000000000)))/100</f>
        <v>2.4028693145487621</v>
      </c>
      <c r="G108" s="3">
        <f>IF($F$79&lt;=0,0,IF($J$79&lt;=$E$18/6+0.000001,$F$79/($E$18*$F$18)*(1-6*$J$79/$E$18),0))/100</f>
        <v>0</v>
      </c>
      <c r="H108" s="10">
        <f>(3*$F$108+$G$108)/4</f>
        <v>1.8021519859115716</v>
      </c>
      <c r="I108" s="3">
        <f t="shared" ref="I108:I115" si="2">$D$10</f>
        <v>3</v>
      </c>
      <c r="J108" s="12">
        <f>$H$108/$I$108</f>
        <v>0.60071732863719052</v>
      </c>
      <c r="K108" s="9" t="str">
        <f>IF($H$108&lt;=$I$108+0.00001,"OK","NON OK")</f>
        <v>OK</v>
      </c>
    </row>
    <row r="109" spans="2:11" ht="28.5" x14ac:dyDescent="0.25">
      <c r="B109" s="7" t="s">
        <v>92</v>
      </c>
      <c r="C109" s="10">
        <f>$F$80</f>
        <v>362.69437499999998</v>
      </c>
      <c r="D109" s="5">
        <f>$J$80</f>
        <v>1.0388912152276968</v>
      </c>
      <c r="E109" s="11" t="str">
        <f>IF($F$80&lt;=0,"N ≤ 0 : soulèvement",IF($J$80&lt;=$E$18/6+0.000001,"e &lt; A/6 =&gt; Diagramme Trapézoïdal",IF($J$80&lt;$E$18/2,"e &gt; A/6 =&gt; Diagramme triangulaire","e ≥ A/2 : instable")))</f>
        <v>e &gt; A/6 =&gt; Diagramme triangulaire</v>
      </c>
      <c r="F109" s="3">
        <f>IF($F$80&lt;=0,0,IF($J$80&lt;=$E$18/6+0.000001,$F$80/($E$18*$F$18)*(1+6*$J$80/$E$18),IF($J$80&lt;$E$18/2,2*$F$80/(3*$F$18*($E$18/2-$J$80)),1000000000)))/100</f>
        <v>2.6159955667470718</v>
      </c>
      <c r="G109" s="3">
        <f>IF($F$80&lt;=0,0,IF($J$80&lt;=$E$18/6+0.000001,$F$80/($E$18*$F$18)*(1-6*$J$80/$E$18),0))/100</f>
        <v>0</v>
      </c>
      <c r="H109" s="10">
        <f>(3*$F$109+$G$109)/4</f>
        <v>1.9619966750603037</v>
      </c>
      <c r="I109" s="3">
        <f t="shared" si="2"/>
        <v>3</v>
      </c>
      <c r="J109" s="12">
        <f>$H$109/$I$109</f>
        <v>0.65399889168676795</v>
      </c>
      <c r="K109" s="9" t="str">
        <f>IF($H$109&lt;=$I$109+0.00001,"OK","NON OK")</f>
        <v>OK</v>
      </c>
    </row>
    <row r="110" spans="2:11" ht="28.5" x14ac:dyDescent="0.25">
      <c r="B110" s="7" t="s">
        <v>93</v>
      </c>
      <c r="C110" s="10">
        <f>$F$81</f>
        <v>374.93437499999999</v>
      </c>
      <c r="D110" s="5">
        <f>$J$81</f>
        <v>0.3839391893581377</v>
      </c>
      <c r="E110" s="11" t="str">
        <f>IF($F$81&lt;=0,"N ≤ 0 : soulèvement",IF($J$81&lt;=$E$18/6+0.000001,"e &lt; A/6 =&gt; Diagramme Trapézoïdal",IF($J$81&lt;$E$18/2,"e &gt; A/6 =&gt; Diagramme triangulaire","e ≥ A/2 : instable")))</f>
        <v>e &lt; A/6 =&gt; Diagramme Trapézoïdal</v>
      </c>
      <c r="F110" s="3">
        <f>IF($F$81&lt;=0,0,IF($J$81&lt;=$E$18/6+0.000001,$F$81/($E$18*$F$18)*(1+6*$J$81/$E$18),IF($J$81&lt;$E$18/2,2*$F$81/(3*$F$18*($E$18/2-$J$81)),1000000000)))/100</f>
        <v>0.91108954169797141</v>
      </c>
      <c r="G110" s="3">
        <f>IF($F$81&lt;=0,0,IF($J$81&lt;=$E$18/6+0.000001,$F$81/($E$18*$F$18)*(1-6*$J$81/$E$18),0))/100</f>
        <v>8.0472441773102865E-2</v>
      </c>
      <c r="H110" s="10">
        <f>(3*$F$110+$G$110)/4</f>
        <v>0.70343526671675427</v>
      </c>
      <c r="I110" s="3">
        <f t="shared" si="2"/>
        <v>3</v>
      </c>
      <c r="J110" s="12">
        <f>$H$110/$I$110</f>
        <v>0.2344784222389181</v>
      </c>
      <c r="K110" s="9" t="str">
        <f>IF($H$110&lt;=$I$110+0.00001,"OK","NON OK")</f>
        <v>OK</v>
      </c>
    </row>
    <row r="111" spans="2:11" ht="28.5" x14ac:dyDescent="0.25">
      <c r="B111" s="7" t="s">
        <v>94</v>
      </c>
      <c r="C111" s="10">
        <f>$F$82</f>
        <v>317.33437500000002</v>
      </c>
      <c r="D111" s="5">
        <f>$J$82</f>
        <v>0.4536287630358356</v>
      </c>
      <c r="E111" s="11" t="str">
        <f>IF($F$82&lt;=0,"N ≤ 0 : soulèvement",IF($J$82&lt;=$E$18/6+0.000001,"e &lt; A/6 =&gt; Diagramme Trapézoïdal",IF($J$82&lt;$E$18/2,"e &gt; A/6 =&gt; Diagramme triangulaire","e ≥ A/2 : instable")))</f>
        <v>e &lt; A/6 =&gt; Diagramme Trapézoïdal</v>
      </c>
      <c r="F111" s="3">
        <f>IF($F$82&lt;=0,0,IF($J$82&lt;=$E$18/6+0.000001,$F$82/($E$18*$F$18)*(1+6*$J$82/$E$18),IF($J$82&lt;$E$18/2,2*$F$82/(3*$F$18*($E$18/2-$J$82)),1000000000)))/100</f>
        <v>0.83492425244177315</v>
      </c>
      <c r="G111" s="3">
        <f>IF($F$82&lt;=0,0,IF($J$82&lt;=$E$18/6+0.000001,$F$82/($E$18*$F$18)*(1-6*$J$82/$E$18),0))/100</f>
        <v>4.3071525169045676E-3</v>
      </c>
      <c r="H111" s="10">
        <f>(3*$F$111+$G$111)/4</f>
        <v>0.62726997746055602</v>
      </c>
      <c r="I111" s="3">
        <f t="shared" si="2"/>
        <v>3</v>
      </c>
      <c r="J111" s="12">
        <f>$H$111/$I$111</f>
        <v>0.20908999248685201</v>
      </c>
      <c r="K111" s="9" t="str">
        <f>IF($H$111&lt;=$I$111+0.00001,"OK","NON OK")</f>
        <v>OK</v>
      </c>
    </row>
    <row r="112" spans="2:11" ht="28.5" x14ac:dyDescent="0.25">
      <c r="B112" s="7" t="s">
        <v>95</v>
      </c>
      <c r="C112" s="10">
        <f>$F$83</f>
        <v>290.69437499999998</v>
      </c>
      <c r="D112" s="5">
        <f>$J$83</f>
        <v>0.99238246354096127</v>
      </c>
      <c r="E112" s="11" t="str">
        <f>IF($F$83&lt;=0,"N ≤ 0 : soulèvement",IF($J$83&lt;=$E$18/6+0.000001,"e &lt; A/6 =&gt; Diagramme Trapézoïdal",IF($J$83&lt;$E$18/2,"e &gt; A/6 =&gt; Diagramme triangulaire","e ≥ A/2 : instable")))</f>
        <v>e &gt; A/6 =&gt; Diagramme triangulaire</v>
      </c>
      <c r="F112" s="3">
        <f>IF($F$83&lt;=0,0,IF($J$83&lt;=$E$18/6+0.000001,$F$83/($E$18*$F$18)*(1+6*$J$83/$E$18),IF($J$83&lt;$E$18/2,2*$F$83/(3*$F$18*($E$18/2-$J$83)),1000000000)))/100</f>
        <v>1.8418226275916649</v>
      </c>
      <c r="G112" s="3">
        <f>IF($F$83&lt;=0,0,IF($J$83&lt;=$E$18/6+0.000001,$F$83/($E$18*$F$18)*(1-6*$J$83/$E$18),0))/100</f>
        <v>0</v>
      </c>
      <c r="H112" s="10">
        <f>(3*$F$112+$G$112)/4</f>
        <v>1.3813669706937488</v>
      </c>
      <c r="I112" s="3">
        <f t="shared" si="2"/>
        <v>3</v>
      </c>
      <c r="J112" s="12">
        <f>$H$112/$I$112</f>
        <v>0.46045565689791629</v>
      </c>
      <c r="K112" s="9" t="str">
        <f>IF($H$112&lt;=$I$112+0.00001,"OK","NON OK")</f>
        <v>OK</v>
      </c>
    </row>
    <row r="113" spans="2:11" ht="28.5" x14ac:dyDescent="0.25">
      <c r="B113" s="7" t="s">
        <v>96</v>
      </c>
      <c r="C113" s="10">
        <f>$F$84</f>
        <v>307.97437500000001</v>
      </c>
      <c r="D113" s="5">
        <f>$J$84</f>
        <v>0.93670130834748833</v>
      </c>
      <c r="E113" s="11" t="str">
        <f>IF($F$84&lt;=0,"N ≤ 0 : soulèvement",IF($J$84&lt;=$E$18/6+0.000001,"e &lt; A/6 =&gt; Diagramme Trapézoïdal",IF($J$84&lt;$E$18/2,"e &gt; A/6 =&gt; Diagramme triangulaire","e ≥ A/2 : instable")))</f>
        <v>e &gt; A/6 =&gt; Diagramme triangulaire</v>
      </c>
      <c r="F113" s="3">
        <f>IF($F$84&lt;=0,0,IF($J$84&lt;=$E$18/6+0.000001,$F$84/($E$18*$F$18)*(1+6*$J$84/$E$18),IF($J$84&lt;$E$18/2,2*$F$84/(3*$F$18*($E$18/2-$J$84)),1000000000)))/100</f>
        <v>1.703414953486702</v>
      </c>
      <c r="G113" s="3">
        <f>IF($F$84&lt;=0,0,IF($J$84&lt;=$E$18/6+0.000001,$F$84/($E$18*$F$18)*(1-6*$J$84/$E$18),0))/100</f>
        <v>0</v>
      </c>
      <c r="H113" s="10">
        <f>(3*$F$113+$G$113)/4</f>
        <v>1.2775612151150266</v>
      </c>
      <c r="I113" s="3">
        <f t="shared" si="2"/>
        <v>3</v>
      </c>
      <c r="J113" s="12">
        <f>$H$113/$I$113</f>
        <v>0.42585373837167556</v>
      </c>
      <c r="K113" s="9" t="str">
        <f>IF($H$113&lt;=$I$113+0.00001,"OK","NON OK")</f>
        <v>OK</v>
      </c>
    </row>
    <row r="114" spans="2:11" ht="28.5" x14ac:dyDescent="0.25">
      <c r="B114" s="7" t="s">
        <v>97</v>
      </c>
      <c r="C114" s="10">
        <f>$F$85</f>
        <v>295.734375</v>
      </c>
      <c r="D114" s="5">
        <f>$J$85</f>
        <v>0.1881147566967824</v>
      </c>
      <c r="E114" s="11" t="str">
        <f>IF($F$85&lt;=0,"N ≤ 0 : soulèvement",IF($J$85&lt;=$E$18/6+0.000001,"e &lt; A/6 =&gt; Diagramme Trapézoïdal",IF($J$85&lt;$E$18/2,"e &gt; A/6 =&gt; Diagramme triangulaire","e ≥ A/2 : instable")))</f>
        <v>e &lt; A/6 =&gt; Diagramme Trapézoïdal</v>
      </c>
      <c r="F114" s="3">
        <f>IF($F$85&lt;=0,0,IF($J$85&lt;=$E$18/6+0.000001,$F$85/($E$18*$F$18)*(1+6*$J$85/$E$18),IF($J$85&lt;$E$18/2,2*$F$85/(3*$F$18*($E$18/2-$J$85)),1000000000)))/100</f>
        <v>0.55155475582268965</v>
      </c>
      <c r="G114" s="3">
        <f>IF($F$85&lt;=0,0,IF($J$85&lt;=$E$18/6+0.000001,$F$85/($E$18*$F$18)*(1-6*$J$85/$E$18),0))/100</f>
        <v>0.23055268219383923</v>
      </c>
      <c r="H114" s="10">
        <f>(3*$F$114+$G$114)/4</f>
        <v>0.47130423741547706</v>
      </c>
      <c r="I114" s="3">
        <f t="shared" si="2"/>
        <v>3</v>
      </c>
      <c r="J114" s="12">
        <f>$H$114/$I$114</f>
        <v>0.15710141247182569</v>
      </c>
      <c r="K114" s="9" t="str">
        <f>IF($H$114&lt;=$I$114+0.00001,"OK","NON OK")</f>
        <v>OK</v>
      </c>
    </row>
    <row r="115" spans="2:11" ht="28.5" x14ac:dyDescent="0.25">
      <c r="B115" s="7" t="s">
        <v>98</v>
      </c>
      <c r="C115" s="10">
        <f>$F$86</f>
        <v>353.33437500000002</v>
      </c>
      <c r="D115" s="5">
        <f>$J$86</f>
        <v>0.15744859242749876</v>
      </c>
      <c r="E115" s="11" t="str">
        <f>IF($F$86&lt;=0,"N ≤ 0 : soulèvement",IF($J$86&lt;=$E$18/6+0.000001,"e &lt; A/6 =&gt; Diagramme Trapézoïdal",IF($J$86&lt;$E$18/2,"e &gt; A/6 =&gt; Diagramme triangulaire","e ≥ A/2 : instable")))</f>
        <v>e &lt; A/6 =&gt; Diagramme Trapézoïdal</v>
      </c>
      <c r="F115" s="3">
        <f>IF($F$86&lt;=0,0,IF($J$86&lt;=$E$18/6+0.000001,$F$86/($E$18*$F$18)*(1+6*$J$86/$E$18),IF($J$86&lt;$E$18/2,2*$F$86/(3*$F$18*($E$18/2-$J$86)),1000000000)))/100</f>
        <v>0.62772004507888812</v>
      </c>
      <c r="G115" s="3">
        <f>IF($F$86&lt;=0,0,IF($J$86&lt;=$E$18/6+0.000001,$F$86/($E$18*$F$18)*(1-6*$J$86/$E$18),0))/100</f>
        <v>0.3067179714500376</v>
      </c>
      <c r="H115" s="10">
        <f>(3*$F$115+$G$115)/4</f>
        <v>0.54746952667167548</v>
      </c>
      <c r="I115" s="3">
        <f t="shared" si="2"/>
        <v>3</v>
      </c>
      <c r="J115" s="12">
        <f>$H$115/$I$115</f>
        <v>0.18248984222389183</v>
      </c>
      <c r="K115" s="9" t="str">
        <f>IF($H$115&lt;=$I$115+0.00001,"OK","NON OK")</f>
        <v>OK</v>
      </c>
    </row>
    <row r="117" spans="2:11" ht="20.100000000000001" customHeight="1" x14ac:dyDescent="0.25">
      <c r="B117" s="19" t="s">
        <v>136</v>
      </c>
      <c r="C117" s="18"/>
      <c r="D117" s="18"/>
      <c r="E117" s="18"/>
      <c r="F117" s="18"/>
      <c r="G117" s="18"/>
      <c r="H117" s="18"/>
      <c r="I117" s="18"/>
      <c r="J117" s="18"/>
      <c r="K117" s="18"/>
    </row>
    <row r="118" spans="2:11" ht="15" customHeight="1" x14ac:dyDescent="0.25">
      <c r="B118" s="24" t="s">
        <v>137</v>
      </c>
      <c r="C118" s="25"/>
      <c r="D118" s="25"/>
      <c r="E118" s="25"/>
      <c r="F118" s="25"/>
      <c r="G118" s="25"/>
      <c r="H118" s="25"/>
      <c r="I118" s="25"/>
      <c r="J118" s="25"/>
      <c r="K118" s="25"/>
    </row>
    <row r="119" spans="2:11" ht="20.100000000000001" customHeight="1" x14ac:dyDescent="0.25">
      <c r="B119" s="1" t="s">
        <v>63</v>
      </c>
      <c r="C119" s="1" t="s">
        <v>114</v>
      </c>
      <c r="D119" s="1" t="s">
        <v>118</v>
      </c>
      <c r="E119" s="1" t="s">
        <v>126</v>
      </c>
      <c r="F119" s="1" t="s">
        <v>127</v>
      </c>
      <c r="G119" s="1" t="s">
        <v>128</v>
      </c>
      <c r="H119" s="1" t="s">
        <v>129</v>
      </c>
      <c r="I119" s="1" t="s">
        <v>130</v>
      </c>
      <c r="J119" s="1" t="s">
        <v>131</v>
      </c>
      <c r="K119" s="1" t="s">
        <v>49</v>
      </c>
    </row>
    <row r="120" spans="2:11" ht="30" customHeight="1" x14ac:dyDescent="0.25">
      <c r="B120" s="2"/>
      <c r="C120" s="2"/>
      <c r="D120" s="2"/>
      <c r="E120" s="2"/>
      <c r="F120" s="2" t="s">
        <v>138</v>
      </c>
      <c r="G120" s="2" t="s">
        <v>139</v>
      </c>
      <c r="H120" s="2" t="s">
        <v>134</v>
      </c>
      <c r="I120" s="2"/>
      <c r="J120" s="2" t="s">
        <v>135</v>
      </c>
      <c r="K120" s="2"/>
    </row>
    <row r="121" spans="2:11" ht="15.75" x14ac:dyDescent="0.25">
      <c r="B121" s="7" t="s">
        <v>71</v>
      </c>
      <c r="C121" s="10">
        <f>$F$63</f>
        <v>485.55140625000001</v>
      </c>
      <c r="D121" s="5">
        <f>$K$63</f>
        <v>0</v>
      </c>
      <c r="E121" s="11" t="str">
        <f>IF($F$63&lt;=0,"N ≤ 0 : soulèvement",IF($K$63&lt;=$F$18/6+0.000001,"e &lt; B/6 =&gt; Diagramme Trapézoïdal",IF($K$63&lt;$F$18/2,"e &gt; B/6 =&gt; Diagramme triangulaire","e ≥ B/2 : instable")))</f>
        <v>e &lt; B/6 =&gt; Diagramme Trapézoïdal</v>
      </c>
      <c r="F121" s="3">
        <f>IF($F$63&lt;=0,0,IF($K$63&lt;=$F$18/6+0.000001,$F$63/($F$18*$E$18)*(1+6*$K$63/$F$18),IF($K$63&lt;$F$18/2,2*$F$63/(3*$E$18*($F$18/2-$K$63)),1000000000)))/100</f>
        <v>0.64205144628099176</v>
      </c>
      <c r="G121" s="3">
        <f>IF($F$63&lt;=0,0,IF($K$63&lt;=$F$18/6+0.000001,$F$63/($F$18*$E$18)*(1-6*$K$63/$F$18),0))/100</f>
        <v>0.64205144628099176</v>
      </c>
      <c r="H121" s="10">
        <f>(3*$F$121+$G$121)/4</f>
        <v>0.64205144628099176</v>
      </c>
      <c r="I121" s="3">
        <f t="shared" ref="I121:I130" si="3">$C$10</f>
        <v>3</v>
      </c>
      <c r="J121" s="12">
        <f>$H$121/$I$121</f>
        <v>0.21401714876033059</v>
      </c>
      <c r="K121" s="9" t="str">
        <f>IF($H$121&lt;=$I$121+0.00001,"OK","NON OK")</f>
        <v>OK</v>
      </c>
    </row>
    <row r="122" spans="2:11" ht="15.75" x14ac:dyDescent="0.25">
      <c r="B122" s="7" t="s">
        <v>74</v>
      </c>
      <c r="C122" s="10">
        <f>$F$64</f>
        <v>500.55140625000001</v>
      </c>
      <c r="D122" s="5">
        <f>$K$64</f>
        <v>0</v>
      </c>
      <c r="E122" s="11" t="str">
        <f>IF($F$64&lt;=0,"N ≤ 0 : soulèvement",IF($K$64&lt;=$F$18/6+0.000001,"e &lt; B/6 =&gt; Diagramme Trapézoïdal",IF($K$64&lt;$F$18/2,"e &gt; B/6 =&gt; Diagramme triangulaire","e ≥ B/2 : instable")))</f>
        <v>e &lt; B/6 =&gt; Diagramme Trapézoïdal</v>
      </c>
      <c r="F122" s="3">
        <f>IF($F$64&lt;=0,0,IF($K$64&lt;=$F$18/6+0.000001,$F$64/($F$18*$E$18)*(1+6*$K$64/$F$18),IF($K$64&lt;$F$18/2,2*$F$64/(3*$E$18*($F$18/2-$K$64)),1000000000)))/100</f>
        <v>0.66188615702479336</v>
      </c>
      <c r="G122" s="3">
        <f>IF($F$64&lt;=0,0,IF($K$64&lt;=$F$18/6+0.000001,$F$64/($F$18*$E$18)*(1-6*$K$64/$F$18),0))/100</f>
        <v>0.66188615702479336</v>
      </c>
      <c r="H122" s="10">
        <f>(3*$F$122+$G$122)/4</f>
        <v>0.66188615702479336</v>
      </c>
      <c r="I122" s="3">
        <f t="shared" si="3"/>
        <v>3</v>
      </c>
      <c r="J122" s="12">
        <f>$H$122/$I$122</f>
        <v>0.22062871900826445</v>
      </c>
      <c r="K122" s="9" t="str">
        <f>IF($H$122&lt;=$I$122+0.00001,"OK","NON OK")</f>
        <v>OK</v>
      </c>
    </row>
    <row r="123" spans="2:11" ht="15.75" x14ac:dyDescent="0.25">
      <c r="B123" s="7" t="s">
        <v>75</v>
      </c>
      <c r="C123" s="10">
        <f>$F$65</f>
        <v>298.05140625000001</v>
      </c>
      <c r="D123" s="5">
        <f>$K$65</f>
        <v>0</v>
      </c>
      <c r="E123" s="11" t="str">
        <f>IF($F$65&lt;=0,"N ≤ 0 : soulèvement",IF($K$65&lt;=$F$18/6+0.000001,"e &lt; B/6 =&gt; Diagramme Trapézoïdal",IF($K$65&lt;$F$18/2,"e &gt; B/6 =&gt; Diagramme triangulaire","e ≥ B/2 : instable")))</f>
        <v>e &lt; B/6 =&gt; Diagramme Trapézoïdal</v>
      </c>
      <c r="F123" s="3">
        <f>IF($F$65&lt;=0,0,IF($K$65&lt;=$F$18/6+0.000001,$F$65/($F$18*$E$18)*(1+6*$K$65/$F$18),IF($K$65&lt;$F$18/2,2*$F$65/(3*$E$18*($F$18/2-$K$65)),1000000000)))/100</f>
        <v>0.39411756198347109</v>
      </c>
      <c r="G123" s="3">
        <f>IF($F$65&lt;=0,0,IF($K$65&lt;=$F$18/6+0.000001,$F$65/($F$18*$E$18)*(1-6*$K$65/$F$18),0))/100</f>
        <v>0.39411756198347109</v>
      </c>
      <c r="H123" s="10">
        <f>(3*$F$123+$G$123)/4</f>
        <v>0.39411756198347109</v>
      </c>
      <c r="I123" s="3">
        <f t="shared" si="3"/>
        <v>3</v>
      </c>
      <c r="J123" s="12">
        <f>$H$123/$I$123</f>
        <v>0.13137252066115704</v>
      </c>
      <c r="K123" s="9" t="str">
        <f>IF($H$123&lt;=$I$123+0.00001,"OK","NON OK")</f>
        <v>OK</v>
      </c>
    </row>
    <row r="124" spans="2:11" ht="15.75" x14ac:dyDescent="0.25">
      <c r="B124" s="7" t="s">
        <v>76</v>
      </c>
      <c r="C124" s="10">
        <f>$F$66</f>
        <v>380.55140625000001</v>
      </c>
      <c r="D124" s="5">
        <f>$K$66</f>
        <v>0.1990532652249265</v>
      </c>
      <c r="E124" s="11" t="str">
        <f>IF($F$66&lt;=0,"N ≤ 0 : soulèvement",IF($K$66&lt;=$F$18/6+0.000001,"e &lt; B/6 =&gt; Diagramme Trapézoïdal",IF($K$66&lt;$F$18/2,"e &gt; B/6 =&gt; Diagramme triangulaire","e ≥ B/2 : instable")))</f>
        <v>e &lt; B/6 =&gt; Diagramme Trapézoïdal</v>
      </c>
      <c r="F124" s="3">
        <f>IF($F$66&lt;=0,0,IF($K$66&lt;=$F$18/6+0.000001,$F$66/($F$18*$E$18)*(1+6*$K$66/$F$18),IF($K$66&lt;$F$18/2,2*$F$66/(3*$E$18*($F$18/2-$K$66)),1000000000)))/100</f>
        <v>0.72175092036063115</v>
      </c>
      <c r="G124" s="3">
        <f>IF($F$66&lt;=0,0,IF($K$66&lt;=$F$18/6+0.000001,$F$66/($F$18*$E$18)*(1-6*$K$66/$F$18),0))/100</f>
        <v>0.28466602178812922</v>
      </c>
      <c r="H124" s="10">
        <f>(3*$F$124+$G$124)/4</f>
        <v>0.6124796957175056</v>
      </c>
      <c r="I124" s="3">
        <f t="shared" si="3"/>
        <v>3</v>
      </c>
      <c r="J124" s="12">
        <f>$H$124/$I$124</f>
        <v>0.20415989857250186</v>
      </c>
      <c r="K124" s="9" t="str">
        <f>IF($H$124&lt;=$I$124+0.00001,"OK","NON OK")</f>
        <v>OK</v>
      </c>
    </row>
    <row r="125" spans="2:11" ht="15.75" x14ac:dyDescent="0.25">
      <c r="B125" s="7" t="s">
        <v>77</v>
      </c>
      <c r="C125" s="10">
        <f>$F$67</f>
        <v>183.83437499999999</v>
      </c>
      <c r="D125" s="5">
        <f>$K$67</f>
        <v>0</v>
      </c>
      <c r="E125" s="11" t="str">
        <f>IF($F$67&lt;=0,"N ≤ 0 : soulèvement",IF($K$67&lt;=$F$18/6+0.000001,"e &lt; B/6 =&gt; Diagramme Trapézoïdal",IF($K$67&lt;$F$18/2,"e &gt; B/6 =&gt; Diagramme triangulaire","e ≥ B/2 : instable")))</f>
        <v>e &lt; B/6 =&gt; Diagramme Trapézoïdal</v>
      </c>
      <c r="F125" s="3">
        <f>IF($F$67&lt;=0,0,IF($K$67&lt;=$F$18/6+0.000001,$F$67/($F$18*$E$18)*(1+6*$K$67/$F$18),IF($K$67&lt;$F$18/2,2*$F$67/(3*$E$18*($F$18/2-$K$67)),1000000000)))/100</f>
        <v>0.24308677685950414</v>
      </c>
      <c r="G125" s="3">
        <f>IF($F$67&lt;=0,0,IF($K$67&lt;=$F$18/6+0.000001,$F$67/($F$18*$E$18)*(1-6*$K$67/$F$18),0))/100</f>
        <v>0.24308677685950414</v>
      </c>
      <c r="H125" s="10">
        <f>(3*$F$125+$G$125)/4</f>
        <v>0.24308677685950414</v>
      </c>
      <c r="I125" s="3">
        <f t="shared" si="3"/>
        <v>3</v>
      </c>
      <c r="J125" s="12">
        <f>$H$125/$I$125</f>
        <v>8.1028925619834713E-2</v>
      </c>
      <c r="K125" s="9" t="str">
        <f>IF($H$125&lt;=$I$125+0.00001,"OK","NON OK")</f>
        <v>OK</v>
      </c>
    </row>
    <row r="126" spans="2:11" ht="15.75" x14ac:dyDescent="0.25">
      <c r="B126" s="7" t="s">
        <v>78</v>
      </c>
      <c r="C126" s="10">
        <f>$F$68</f>
        <v>266.33437500000002</v>
      </c>
      <c r="D126" s="5">
        <f>$K$68</f>
        <v>0.28441691013411241</v>
      </c>
      <c r="E126" s="11" t="str">
        <f>IF($F$68&lt;=0,"N ≤ 0 : soulèvement",IF($K$68&lt;=$F$18/6+0.000001,"e &lt; B/6 =&gt; Diagramme Trapézoïdal",IF($K$68&lt;$F$18/2,"e &gt; B/6 =&gt; Diagramme triangulaire","e ≥ B/2 : instable")))</f>
        <v>e &lt; B/6 =&gt; Diagramme Trapézoïdal</v>
      </c>
      <c r="F126" s="3">
        <f>IF($F$68&lt;=0,0,IF($K$68&lt;=$F$18/6+0.000001,$F$68/($F$18*$E$18)*(1+6*$K$68/$F$18),IF($K$68&lt;$F$18/2,2*$F$68/(3*$E$18*($F$18/2-$K$68)),1000000000)))/100</f>
        <v>0.57072013523666432</v>
      </c>
      <c r="G126" s="3">
        <f>IF($F$68&lt;=0,0,IF($K$68&lt;=$F$18/6+0.000001,$F$68/($F$18*$E$18)*(1-6*$K$68/$F$18),0))/100</f>
        <v>0.13363523666416233</v>
      </c>
      <c r="H126" s="10">
        <f>(3*$F$126+$G$126)/4</f>
        <v>0.46144891059353887</v>
      </c>
      <c r="I126" s="3">
        <f t="shared" si="3"/>
        <v>3</v>
      </c>
      <c r="J126" s="12">
        <f>$H$126/$I$126</f>
        <v>0.15381630353117962</v>
      </c>
      <c r="K126" s="9" t="str">
        <f>IF($H$126&lt;=$I$126+0.00001,"OK","NON OK")</f>
        <v>OK</v>
      </c>
    </row>
    <row r="127" spans="2:11" ht="15.75" x14ac:dyDescent="0.25">
      <c r="B127" s="7" t="s">
        <v>79</v>
      </c>
      <c r="C127" s="10">
        <f>$F$69</f>
        <v>352.80140625000001</v>
      </c>
      <c r="D127" s="5">
        <f>$K$69</f>
        <v>0</v>
      </c>
      <c r="E127" s="11" t="str">
        <f>IF($F$69&lt;=0,"N ≤ 0 : soulèvement",IF($K$69&lt;=$F$18/6+0.000001,"e &lt; B/6 =&gt; Diagramme Trapézoïdal",IF($K$69&lt;$F$18/2,"e &gt; B/6 =&gt; Diagramme triangulaire","e ≥ B/2 : instable")))</f>
        <v>e &lt; B/6 =&gt; Diagramme Trapézoïdal</v>
      </c>
      <c r="F127" s="3">
        <f>IF($F$69&lt;=0,0,IF($K$69&lt;=$F$18/6+0.000001,$F$69/($F$18*$E$18)*(1+6*$K$69/$F$18),IF($K$69&lt;$F$18/2,2*$F$69/(3*$E$18*($F$18/2-$K$69)),1000000000)))/100</f>
        <v>0.46651425619834713</v>
      </c>
      <c r="G127" s="3">
        <f>IF($F$69&lt;=0,0,IF($K$69&lt;=$F$18/6+0.000001,$F$69/($F$18*$E$18)*(1-6*$K$69/$F$18),0))/100</f>
        <v>0.46651425619834713</v>
      </c>
      <c r="H127" s="10">
        <f>(3*$F$127+$G$127)/4</f>
        <v>0.46651425619834713</v>
      </c>
      <c r="I127" s="3">
        <f t="shared" si="3"/>
        <v>3</v>
      </c>
      <c r="J127" s="12">
        <f>$H$127/$I$127</f>
        <v>0.15550475206611572</v>
      </c>
      <c r="K127" s="9" t="str">
        <f>IF($H$127&lt;=$I$127+0.00001,"OK","NON OK")</f>
        <v>OK</v>
      </c>
    </row>
    <row r="128" spans="2:11" ht="15.75" x14ac:dyDescent="0.25">
      <c r="B128" s="7" t="s">
        <v>80</v>
      </c>
      <c r="C128" s="10">
        <f>$F$70</f>
        <v>427.05140625000001</v>
      </c>
      <c r="D128" s="5">
        <f>$K$70</f>
        <v>0.15964120244598773</v>
      </c>
      <c r="E128" s="11" t="str">
        <f>IF($F$70&lt;=0,"N ≤ 0 : soulèvement",IF($K$70&lt;=$F$18/6+0.000001,"e &lt; B/6 =&gt; Diagramme Trapézoïdal",IF($K$70&lt;$F$18/2,"e &gt; B/6 =&gt; Diagramme triangulaire","e ≥ B/2 : instable")))</f>
        <v>e &lt; B/6 =&gt; Diagramme Trapézoïdal</v>
      </c>
      <c r="F128" s="3">
        <f>IF($F$70&lt;=0,0,IF($K$70&lt;=$F$18/6+0.000001,$F$70/($F$18*$E$18)*(1+6*$K$70/$F$18),IF($K$70&lt;$F$18/2,2*$F$70/(3*$E$18*($F$18/2-$K$70)),1000000000)))/100</f>
        <v>0.76138427873779124</v>
      </c>
      <c r="G128" s="3">
        <f>IF($F$70&lt;=0,0,IF($K$70&lt;=$F$18/6+0.000001,$F$70/($F$18*$E$18)*(1-6*$K$70/$F$18),0))/100</f>
        <v>0.36800787002253948</v>
      </c>
      <c r="H128" s="10">
        <f>(3*$F$128+$G$128)/4</f>
        <v>0.66304017655897829</v>
      </c>
      <c r="I128" s="3">
        <f t="shared" si="3"/>
        <v>3</v>
      </c>
      <c r="J128" s="12">
        <f>$H$128/$I$128</f>
        <v>0.2210133921863261</v>
      </c>
      <c r="K128" s="9" t="str">
        <f>IF($H$128&lt;=$I$128+0.00001,"OK","NON OK")</f>
        <v>OK</v>
      </c>
    </row>
    <row r="129" spans="2:11" ht="15.75" x14ac:dyDescent="0.25">
      <c r="B129" s="7" t="s">
        <v>81</v>
      </c>
      <c r="C129" s="10">
        <f>$F$71</f>
        <v>366.30140625000001</v>
      </c>
      <c r="D129" s="5">
        <f>$K$71</f>
        <v>0</v>
      </c>
      <c r="E129" s="11" t="str">
        <f>IF($F$71&lt;=0,"N ≤ 0 : soulèvement",IF($K$71&lt;=$F$18/6+0.000001,"e &lt; B/6 =&gt; Diagramme Trapézoïdal",IF($K$71&lt;$F$18/2,"e &gt; B/6 =&gt; Diagramme triangulaire","e ≥ B/2 : instable")))</f>
        <v>e &lt; B/6 =&gt; Diagramme Trapézoïdal</v>
      </c>
      <c r="F129" s="3">
        <f>IF($F$71&lt;=0,0,IF($K$71&lt;=$F$18/6+0.000001,$F$71/($F$18*$E$18)*(1+6*$K$71/$F$18),IF($K$71&lt;$F$18/2,2*$F$71/(3*$E$18*($F$18/2-$K$71)),1000000000)))/100</f>
        <v>0.48436549586776861</v>
      </c>
      <c r="G129" s="3">
        <f>IF($F$71&lt;=0,0,IF($K$71&lt;=$F$18/6+0.000001,$F$71/($F$18*$E$18)*(1-6*$K$71/$F$18),0))/100</f>
        <v>0.48436549586776861</v>
      </c>
      <c r="H129" s="10">
        <f>(3*$F$129+$G$129)/4</f>
        <v>0.48436549586776861</v>
      </c>
      <c r="I129" s="3">
        <f t="shared" si="3"/>
        <v>3</v>
      </c>
      <c r="J129" s="12">
        <f>$H$129/$I$129</f>
        <v>0.16145516528925621</v>
      </c>
      <c r="K129" s="9" t="str">
        <f>IF($H$129&lt;=$I$129+0.00001,"OK","NON OK")</f>
        <v>OK</v>
      </c>
    </row>
    <row r="130" spans="2:11" ht="15.75" x14ac:dyDescent="0.25">
      <c r="B130" s="7" t="s">
        <v>82</v>
      </c>
      <c r="C130" s="10">
        <f>$F$72</f>
        <v>440.55140625000001</v>
      </c>
      <c r="D130" s="5">
        <f>$K$72</f>
        <v>0.15474925067271872</v>
      </c>
      <c r="E130" s="11" t="str">
        <f>IF($F$72&lt;=0,"N ≤ 0 : soulèvement",IF($K$72&lt;=$F$18/6+0.000001,"e &lt; B/6 =&gt; Diagramme Trapézoïdal",IF($K$72&lt;$F$18/2,"e &gt; B/6 =&gt; Diagramme triangulaire","e ≥ B/2 : instable")))</f>
        <v>e &lt; B/6 =&gt; Diagramme Trapézoïdal</v>
      </c>
      <c r="F130" s="3">
        <f>IF($F$72&lt;=0,0,IF($K$72&lt;=$F$18/6+0.000001,$F$72/($F$18*$E$18)*(1+6*$K$72/$F$18),IF($K$72&lt;$F$18/2,2*$F$72/(3*$E$18*($F$18/2-$K$72)),1000000000)))/100</f>
        <v>0.77923551840721261</v>
      </c>
      <c r="G130" s="3">
        <f>IF($F$72&lt;=0,0,IF($K$72&lt;=$F$18/6+0.000001,$F$72/($F$18*$E$18)*(1-6*$K$72/$F$18),0))/100</f>
        <v>0.38585910969196091</v>
      </c>
      <c r="H130" s="10">
        <f>(3*$F$130+$G$130)/4</f>
        <v>0.68089141622839966</v>
      </c>
      <c r="I130" s="3">
        <f t="shared" si="3"/>
        <v>3</v>
      </c>
      <c r="J130" s="12">
        <f>$H$130/$I$130</f>
        <v>0.22696380540946656</v>
      </c>
      <c r="K130" s="9" t="str">
        <f>IF($H$130&lt;=$I$130+0.00001,"OK","NON OK")</f>
        <v>OK</v>
      </c>
    </row>
    <row r="131" spans="2:11" ht="15.75" x14ac:dyDescent="0.25">
      <c r="B131" s="7" t="s">
        <v>83</v>
      </c>
      <c r="C131" s="10">
        <f>$F$73</f>
        <v>356.33437500000002</v>
      </c>
      <c r="D131" s="5">
        <f>$K$73</f>
        <v>0</v>
      </c>
      <c r="E131" s="11" t="str">
        <f>IF($F$73&lt;=0,"N ≤ 0 : soulèvement",IF($K$73&lt;=$F$18/6+0.000001,"e &lt; B/6 =&gt; Diagramme Trapézoïdal",IF($K$73&lt;$F$18/2,"e &gt; B/6 =&gt; Diagramme triangulaire","e ≥ B/2 : instable")))</f>
        <v>e &lt; B/6 =&gt; Diagramme Trapézoïdal</v>
      </c>
      <c r="F131" s="3">
        <f>IF($F$73&lt;=0,0,IF($K$73&lt;=$F$18/6+0.000001,$F$73/($F$18*$E$18)*(1+6*$K$73/$F$18),IF($K$73&lt;$F$18/2,2*$F$73/(3*$E$18*($F$18/2-$K$73)),1000000000)))/100</f>
        <v>0.47118595041322314</v>
      </c>
      <c r="G131" s="3">
        <f>IF($F$73&lt;=0,0,IF($K$73&lt;=$F$18/6+0.000001,$F$73/($F$18*$E$18)*(1-6*$K$73/$F$18),0))/100</f>
        <v>0.47118595041322314</v>
      </c>
      <c r="H131" s="10">
        <f>(3*$F$131+$G$131)/4</f>
        <v>0.47118595041322314</v>
      </c>
      <c r="I131" s="3">
        <f t="shared" ref="I131:I136" si="4">$B$10</f>
        <v>2</v>
      </c>
      <c r="J131" s="12">
        <f>$H$131/$I$131</f>
        <v>0.23559297520661157</v>
      </c>
      <c r="K131" s="9" t="str">
        <f>IF($H$131&lt;=$I$131+0.00001,"OK","NON OK")</f>
        <v>OK</v>
      </c>
    </row>
    <row r="132" spans="2:11" ht="15.75" x14ac:dyDescent="0.25">
      <c r="B132" s="7" t="s">
        <v>85</v>
      </c>
      <c r="C132" s="10">
        <f>$F$74</f>
        <v>366.33437500000002</v>
      </c>
      <c r="D132" s="5">
        <f>$K$74</f>
        <v>0</v>
      </c>
      <c r="E132" s="11" t="str">
        <f>IF($F$74&lt;=0,"N ≤ 0 : soulèvement",IF($K$74&lt;=$F$18/6+0.000001,"e &lt; B/6 =&gt; Diagramme Trapézoïdal",IF($K$74&lt;$F$18/2,"e &gt; B/6 =&gt; Diagramme triangulaire","e ≥ B/2 : instable")))</f>
        <v>e &lt; B/6 =&gt; Diagramme Trapézoïdal</v>
      </c>
      <c r="F132" s="3">
        <f>IF($F$74&lt;=0,0,IF($K$74&lt;=$F$18/6+0.000001,$F$74/($F$18*$E$18)*(1+6*$K$74/$F$18),IF($K$74&lt;$F$18/2,2*$F$74/(3*$E$18*($F$18/2-$K$74)),1000000000)))/100</f>
        <v>0.48440909090909096</v>
      </c>
      <c r="G132" s="3">
        <f>IF($F$74&lt;=0,0,IF($K$74&lt;=$F$18/6+0.000001,$F$74/($F$18*$E$18)*(1-6*$K$74/$F$18),0))/100</f>
        <v>0.48440909090909096</v>
      </c>
      <c r="H132" s="10">
        <f>(3*$F$132+$G$132)/4</f>
        <v>0.48440909090909096</v>
      </c>
      <c r="I132" s="3">
        <f t="shared" si="4"/>
        <v>2</v>
      </c>
      <c r="J132" s="12">
        <f>$H$132/$I$132</f>
        <v>0.24220454545454548</v>
      </c>
      <c r="K132" s="9" t="str">
        <f>IF($H$132&lt;=$I$132+0.00001,"OK","NON OK")</f>
        <v>OK</v>
      </c>
    </row>
    <row r="133" spans="2:11" ht="15.75" x14ac:dyDescent="0.25">
      <c r="B133" s="7" t="s">
        <v>86</v>
      </c>
      <c r="C133" s="10">
        <f>$F$75</f>
        <v>231.33437499999999</v>
      </c>
      <c r="D133" s="5">
        <f>$K$75</f>
        <v>0</v>
      </c>
      <c r="E133" s="11" t="str">
        <f>IF($F$75&lt;=0,"N ≤ 0 : soulèvement",IF($K$75&lt;=$F$18/6+0.000001,"e &lt; B/6 =&gt; Diagramme Trapézoïdal",IF($K$75&lt;$F$18/2,"e &gt; B/6 =&gt; Diagramme triangulaire","e ≥ B/2 : instable")))</f>
        <v>e &lt; B/6 =&gt; Diagramme Trapézoïdal</v>
      </c>
      <c r="F133" s="3">
        <f>IF($F$75&lt;=0,0,IF($K$75&lt;=$F$18/6+0.000001,$F$75/($F$18*$E$18)*(1+6*$K$75/$F$18),IF($K$75&lt;$F$18/2,2*$F$75/(3*$E$18*($F$18/2-$K$75)),1000000000)))/100</f>
        <v>0.30589669421487603</v>
      </c>
      <c r="G133" s="3">
        <f>IF($F$75&lt;=0,0,IF($K$75&lt;=$F$18/6+0.000001,$F$75/($F$18*$E$18)*(1-6*$K$75/$F$18),0))/100</f>
        <v>0.30589669421487603</v>
      </c>
      <c r="H133" s="10">
        <f>(3*$F$133+$G$133)/4</f>
        <v>0.30589669421487603</v>
      </c>
      <c r="I133" s="3">
        <f t="shared" si="4"/>
        <v>2</v>
      </c>
      <c r="J133" s="12">
        <f>$H$133/$I$133</f>
        <v>0.15294834710743802</v>
      </c>
      <c r="K133" s="9" t="str">
        <f>IF($H$133&lt;=$I$133+0.00001,"OK","NON OK")</f>
        <v>OK</v>
      </c>
    </row>
    <row r="134" spans="2:11" ht="15.75" x14ac:dyDescent="0.25">
      <c r="B134" s="7" t="s">
        <v>87</v>
      </c>
      <c r="C134" s="10">
        <f>$F$76</f>
        <v>286.33437500000002</v>
      </c>
      <c r="D134" s="5">
        <f>$K$76</f>
        <v>0.17636722800048019</v>
      </c>
      <c r="E134" s="11" t="str">
        <f>IF($F$76&lt;=0,"N ≤ 0 : soulèvement",IF($K$76&lt;=$F$18/6+0.000001,"e &lt; B/6 =&gt; Diagramme Trapézoïdal",IF($K$76&lt;$F$18/2,"e &gt; B/6 =&gt; Diagramme triangulaire","e ≥ B/2 : instable")))</f>
        <v>e &lt; B/6 =&gt; Diagramme Trapézoïdal</v>
      </c>
      <c r="F134" s="3">
        <f>IF($F$76&lt;=0,0,IF($K$76&lt;=$F$18/6+0.000001,$F$76/($F$18*$E$18)*(1+6*$K$76/$F$18),IF($K$76&lt;$F$18/2,2*$F$76/(3*$E$18*($F$18/2-$K$76)),1000000000)))/100</f>
        <v>0.52431893313298272</v>
      </c>
      <c r="G134" s="3">
        <f>IF($F$76&lt;=0,0,IF($K$76&lt;=$F$18/6+0.000001,$F$76/($F$18*$E$18)*(1-6*$K$76/$F$18),0))/100</f>
        <v>0.23292900075131487</v>
      </c>
      <c r="H134" s="10">
        <f>(3*$F$134+$G$134)/4</f>
        <v>0.45147145003756578</v>
      </c>
      <c r="I134" s="3">
        <f t="shared" si="4"/>
        <v>2</v>
      </c>
      <c r="J134" s="12">
        <f>$H$134/$I$134</f>
        <v>0.22573572501878289</v>
      </c>
      <c r="K134" s="9" t="str">
        <f>IF($H$134&lt;=$I$134+0.00001,"OK","NON OK")</f>
        <v>OK</v>
      </c>
    </row>
    <row r="135" spans="2:11" ht="15.75" x14ac:dyDescent="0.25">
      <c r="B135" s="7" t="s">
        <v>88</v>
      </c>
      <c r="C135" s="10">
        <f>$F$77</f>
        <v>267.83437500000002</v>
      </c>
      <c r="D135" s="5">
        <f>$K$77</f>
        <v>0</v>
      </c>
      <c r="E135" s="11" t="str">
        <f>IF($F$77&lt;=0,"N ≤ 0 : soulèvement",IF($K$77&lt;=$F$18/6+0.000001,"e &lt; B/6 =&gt; Diagramme Trapézoïdal",IF($K$77&lt;$F$18/2,"e &gt; B/6 =&gt; Diagramme triangulaire","e ≥ B/2 : instable")))</f>
        <v>e &lt; B/6 =&gt; Diagramme Trapézoïdal</v>
      </c>
      <c r="F135" s="3">
        <f>IF($F$77&lt;=0,0,IF($K$77&lt;=$F$18/6+0.000001,$F$77/($F$18*$E$18)*(1+6*$K$77/$F$18),IF($K$77&lt;$F$18/2,2*$F$77/(3*$E$18*($F$18/2-$K$77)),1000000000)))/100</f>
        <v>0.35416115702479345</v>
      </c>
      <c r="G135" s="3">
        <f>IF($F$77&lt;=0,0,IF($K$77&lt;=$F$18/6+0.000001,$F$77/($F$18*$E$18)*(1-6*$K$77/$F$18),0))/100</f>
        <v>0.35416115702479345</v>
      </c>
      <c r="H135" s="10">
        <f>(3*$F$135+$G$135)/4</f>
        <v>0.35416115702479345</v>
      </c>
      <c r="I135" s="3">
        <f t="shared" si="4"/>
        <v>2</v>
      </c>
      <c r="J135" s="12">
        <f>$H$135/$I$135</f>
        <v>0.17708057851239672</v>
      </c>
      <c r="K135" s="9" t="str">
        <f>IF($H$135&lt;=$I$135+0.00001,"OK","NON OK")</f>
        <v>OK</v>
      </c>
    </row>
    <row r="136" spans="2:11" ht="15.75" x14ac:dyDescent="0.25">
      <c r="B136" s="7" t="s">
        <v>89</v>
      </c>
      <c r="C136" s="10">
        <f>$F$78</f>
        <v>317.33437500000002</v>
      </c>
      <c r="D136" s="5">
        <f>$K$78</f>
        <v>0.14322431977310998</v>
      </c>
      <c r="E136" s="11" t="str">
        <f>IF($F$78&lt;=0,"N ≤ 0 : soulèvement",IF($K$78&lt;=$F$18/6+0.000001,"e &lt; B/6 =&gt; Diagramme Trapézoïdal",IF($K$78&lt;$F$18/2,"e &gt; B/6 =&gt; Diagramme triangulaire","e ≥ B/2 : instable")))</f>
        <v>e &lt; B/6 =&gt; Diagramme Trapézoïdal</v>
      </c>
      <c r="F136" s="3">
        <f>IF($F$78&lt;=0,0,IF($K$78&lt;=$F$18/6+0.000001,$F$78/($F$18*$E$18)*(1+6*$K$78/$F$18),IF($K$78&lt;$F$18/2,2*$F$78/(3*$E$18*($F$18/2-$K$78)),1000000000)))/100</f>
        <v>0.55074117205108941</v>
      </c>
      <c r="G136" s="3">
        <f>IF($F$78&lt;=0,0,IF($K$78&lt;=$F$18/6+0.000001,$F$78/($F$18*$E$18)*(1-6*$K$78/$F$18),0))/100</f>
        <v>0.2884902329075883</v>
      </c>
      <c r="H136" s="10">
        <f>(3*$F$136+$G$136)/4</f>
        <v>0.48517843726521415</v>
      </c>
      <c r="I136" s="3">
        <f t="shared" si="4"/>
        <v>2</v>
      </c>
      <c r="J136" s="12">
        <f>$H$136/$I$136</f>
        <v>0.24258921863260707</v>
      </c>
      <c r="K136" s="9" t="str">
        <f>IF($H$136&lt;=$I$136+0.00001,"OK","NON OK")</f>
        <v>OK</v>
      </c>
    </row>
    <row r="137" spans="2:11" ht="28.5" x14ac:dyDescent="0.25">
      <c r="B137" s="7" t="s">
        <v>90</v>
      </c>
      <c r="C137" s="10">
        <f>$F$79</f>
        <v>379.97437500000001</v>
      </c>
      <c r="D137" s="5">
        <f>$K$79</f>
        <v>2.6717591153350803E-2</v>
      </c>
      <c r="E137" s="11" t="str">
        <f>IF($F$79&lt;=0,"N ≤ 0 : soulèvement",IF($K$79&lt;=$F$18/6+0.000001,"e &lt; B/6 =&gt; Diagramme Trapézoïdal",IF($K$79&lt;$F$18/2,"e &gt; B/6 =&gt; Diagramme triangulaire","e ≥ B/2 : instable")))</f>
        <v>e &lt; B/6 =&gt; Diagramme Trapézoïdal</v>
      </c>
      <c r="F137" s="3">
        <f>IF($F$79&lt;=0,0,IF($K$79&lt;=$F$18/6+0.000001,$F$79/($F$18*$E$18)*(1+6*$K$79/$F$18),IF($K$79&lt;$F$18/2,2*$F$79/(3*$E$18*($F$18/2-$K$79)),1000000000)))/100</f>
        <v>0.53173447032306531</v>
      </c>
      <c r="G137" s="3">
        <f>IF($F$79&lt;=0,0,IF($K$79&lt;=$F$18/6+0.000001,$F$79/($F$18*$E$18)*(1-6*$K$79/$F$18),0))/100</f>
        <v>0.47315643876784369</v>
      </c>
      <c r="H137" s="10">
        <f>(3*$F$137+$G$137)/4</f>
        <v>0.51708996243425986</v>
      </c>
      <c r="I137" s="3">
        <f t="shared" ref="I137:I144" si="5">$D$10</f>
        <v>3</v>
      </c>
      <c r="J137" s="12">
        <f>$H$137/$I$137</f>
        <v>0.17236332081141995</v>
      </c>
      <c r="K137" s="9" t="str">
        <f>IF($H$137&lt;=$I$137+0.00001,"OK","NON OK")</f>
        <v>OK</v>
      </c>
    </row>
    <row r="138" spans="2:11" ht="28.5" x14ac:dyDescent="0.25">
      <c r="B138" s="7" t="s">
        <v>92</v>
      </c>
      <c r="C138" s="10">
        <f>$F$80</f>
        <v>362.69437499999998</v>
      </c>
      <c r="D138" s="5">
        <f>$K$80</f>
        <v>2.7990508537663428E-2</v>
      </c>
      <c r="E138" s="11" t="str">
        <f>IF($F$80&lt;=0,"N ≤ 0 : soulèvement",IF($K$80&lt;=$F$18/6+0.000001,"e &lt; B/6 =&gt; Diagramme Trapézoïdal",IF($K$80&lt;$F$18/2,"e &gt; B/6 =&gt; Diagramme triangulaire","e ≥ B/2 : instable")))</f>
        <v>e &lt; B/6 =&gt; Diagramme Trapézoïdal</v>
      </c>
      <c r="F138" s="3">
        <f>IF($F$80&lt;=0,0,IF($K$80&lt;=$F$18/6+0.000001,$F$80/($F$18*$E$18)*(1+6*$K$80/$F$18),IF($K$80&lt;$F$18/2,2*$F$80/(3*$E$18*($F$18/2-$K$80)),1000000000)))/100</f>
        <v>0.50888488354620576</v>
      </c>
      <c r="G138" s="3">
        <f>IF($F$80&lt;=0,0,IF($K$80&lt;=$F$18/6+0.000001,$F$80/($F$18*$E$18)*(1-6*$K$80/$F$18),0))/100</f>
        <v>0.45030685199098419</v>
      </c>
      <c r="H138" s="10">
        <f>(3*$F$138+$G$138)/4</f>
        <v>0.49424037565740042</v>
      </c>
      <c r="I138" s="3">
        <f t="shared" si="5"/>
        <v>3</v>
      </c>
      <c r="J138" s="12">
        <f>$H$138/$I$138</f>
        <v>0.16474679188580013</v>
      </c>
      <c r="K138" s="9" t="str">
        <f>IF($H$138&lt;=$I$138+0.00001,"OK","NON OK")</f>
        <v>OK</v>
      </c>
    </row>
    <row r="139" spans="2:11" ht="28.5" x14ac:dyDescent="0.25">
      <c r="B139" s="7" t="s">
        <v>93</v>
      </c>
      <c r="C139" s="10">
        <f>$F$81</f>
        <v>374.93437499999999</v>
      </c>
      <c r="D139" s="5">
        <f>$K$81</f>
        <v>9.0255794764083727E-2</v>
      </c>
      <c r="E139" s="11" t="str">
        <f>IF($F$81&lt;=0,"N ≤ 0 : soulèvement",IF($K$81&lt;=$F$18/6+0.000001,"e &lt; B/6 =&gt; Diagramme Trapézoïdal",IF($K$81&lt;$F$18/2,"e &gt; B/6 =&gt; Diagramme triangulaire","e ≥ B/2 : instable")))</f>
        <v>e &lt; B/6 =&gt; Diagramme Trapézoïdal</v>
      </c>
      <c r="F139" s="3">
        <f>IF($F$81&lt;=0,0,IF($K$81&lt;=$F$18/6+0.000001,$F$81/($F$18*$E$18)*(1+6*$K$81/$F$18),IF($K$81&lt;$F$18/2,2*$F$81/(3*$E$18*($F$18/2-$K$81)),1000000000)))/100</f>
        <v>0.59341104432757319</v>
      </c>
      <c r="G139" s="3">
        <f>IF($F$81&lt;=0,0,IF($K$81&lt;=$F$18/6+0.000001,$F$81/($F$18*$E$18)*(1-6*$K$81/$F$18),0))/100</f>
        <v>0.39815093914350114</v>
      </c>
      <c r="H139" s="10">
        <f>(3*$F$139+$G$139)/4</f>
        <v>0.54459601803155511</v>
      </c>
      <c r="I139" s="3">
        <f t="shared" si="5"/>
        <v>3</v>
      </c>
      <c r="J139" s="12">
        <f>$H$139/$I$139</f>
        <v>0.18153200601051836</v>
      </c>
      <c r="K139" s="9" t="str">
        <f>IF($H$139&lt;=$I$139+0.00001,"OK","NON OK")</f>
        <v>OK</v>
      </c>
    </row>
    <row r="140" spans="2:11" ht="28.5" x14ac:dyDescent="0.25">
      <c r="B140" s="7" t="s">
        <v>94</v>
      </c>
      <c r="C140" s="10">
        <f>$F$82</f>
        <v>317.33437500000002</v>
      </c>
      <c r="D140" s="5">
        <f>$K$82</f>
        <v>0.10663830541522645</v>
      </c>
      <c r="E140" s="11" t="str">
        <f>IF($F$82&lt;=0,"N ≤ 0 : soulèvement",IF($K$82&lt;=$F$18/6+0.000001,"e &lt; B/6 =&gt; Diagramme Trapézoïdal",IF($K$82&lt;$F$18/2,"e &gt; B/6 =&gt; Diagramme triangulaire","e ≥ B/2 : instable")))</f>
        <v>e &lt; B/6 =&gt; Diagramme Trapézoïdal</v>
      </c>
      <c r="F140" s="3">
        <f>IF($F$82&lt;=0,0,IF($K$82&lt;=$F$18/6+0.000001,$F$82/($F$18*$E$18)*(1+6*$K$82/$F$18),IF($K$82&lt;$F$18/2,2*$F$82/(3*$E$18*($F$18/2-$K$82)),1000000000)))/100</f>
        <v>0.51724575507137494</v>
      </c>
      <c r="G140" s="3">
        <f>IF($F$82&lt;=0,0,IF($K$82&lt;=$F$18/6+0.000001,$F$82/($F$18*$E$18)*(1-6*$K$82/$F$18),0))/100</f>
        <v>0.32198564988730277</v>
      </c>
      <c r="H140" s="10">
        <f>(3*$F$140+$G$140)/4</f>
        <v>0.46843072877535691</v>
      </c>
      <c r="I140" s="3">
        <f t="shared" si="5"/>
        <v>3</v>
      </c>
      <c r="J140" s="12">
        <f>$H$140/$I$140</f>
        <v>0.15614357625845229</v>
      </c>
      <c r="K140" s="9" t="str">
        <f>IF($H$140&lt;=$I$140+0.00001,"OK","NON OK")</f>
        <v>OK</v>
      </c>
    </row>
    <row r="141" spans="2:11" ht="28.5" x14ac:dyDescent="0.25">
      <c r="B141" s="7" t="s">
        <v>95</v>
      </c>
      <c r="C141" s="10">
        <f>$F$83</f>
        <v>290.69437499999998</v>
      </c>
      <c r="D141" s="5">
        <f>$K$83</f>
        <v>3.4923276379186907E-2</v>
      </c>
      <c r="E141" s="11" t="str">
        <f>IF($F$83&lt;=0,"N ≤ 0 : soulèvement",IF($K$83&lt;=$F$18/6+0.000001,"e &lt; B/6 =&gt; Diagramme Trapézoïdal",IF($K$83&lt;$F$18/2,"e &gt; B/6 =&gt; Diagramme triangulaire","e ≥ B/2 : instable")))</f>
        <v>e &lt; B/6 =&gt; Diagramme Trapézoïdal</v>
      </c>
      <c r="F141" s="3">
        <f>IF($F$83&lt;=0,0,IF($K$83&lt;=$F$18/6+0.000001,$F$83/($F$18*$E$18)*(1+6*$K$83/$F$18),IF($K$83&lt;$F$18/2,2*$F$83/(3*$E$18*($F$18/2-$K$83)),1000000000)))/100</f>
        <v>0.41367827197595797</v>
      </c>
      <c r="G141" s="3">
        <f>IF($F$83&lt;=0,0,IF($K$83&lt;=$F$18/6+0.000001,$F$83/($F$18*$E$18)*(1-6*$K$83/$F$18),0))/100</f>
        <v>0.35510024042073624</v>
      </c>
      <c r="H141" s="10">
        <f>(3*$F$141+$G$141)/4</f>
        <v>0.39903376408715252</v>
      </c>
      <c r="I141" s="3">
        <f t="shared" si="5"/>
        <v>3</v>
      </c>
      <c r="J141" s="12">
        <f>$H$141/$I$141</f>
        <v>0.13301125469571751</v>
      </c>
      <c r="K141" s="9" t="str">
        <f>IF($H$141&lt;=$I$141+0.00001,"OK","NON OK")</f>
        <v>OK</v>
      </c>
    </row>
    <row r="142" spans="2:11" ht="28.5" x14ac:dyDescent="0.25">
      <c r="B142" s="7" t="s">
        <v>96</v>
      </c>
      <c r="C142" s="10">
        <f>$F$84</f>
        <v>307.97437500000001</v>
      </c>
      <c r="D142" s="5">
        <f>$K$84</f>
        <v>3.2963781483443227E-2</v>
      </c>
      <c r="E142" s="11" t="str">
        <f>IF($F$84&lt;=0,"N ≤ 0 : soulèvement",IF($K$84&lt;=$F$18/6+0.000001,"e &lt; B/6 =&gt; Diagramme Trapézoïdal",IF($K$84&lt;$F$18/2,"e &gt; B/6 =&gt; Diagramme triangulaire","e ≥ B/2 : instable")))</f>
        <v>e &lt; B/6 =&gt; Diagramme Trapézoïdal</v>
      </c>
      <c r="F142" s="3">
        <f>IF($F$84&lt;=0,0,IF($K$84&lt;=$F$18/6+0.000001,$F$84/($F$18*$E$18)*(1+6*$K$84/$F$18),IF($K$84&lt;$F$18/2,2*$F$84/(3*$E$18*($F$18/2-$K$84)),1000000000)))/100</f>
        <v>0.43652785875281741</v>
      </c>
      <c r="G142" s="3">
        <f>IF($F$84&lt;=0,0,IF($K$84&lt;=$F$18/6+0.000001,$F$84/($F$18*$E$18)*(1-6*$K$84/$F$18),0))/100</f>
        <v>0.37794982719759579</v>
      </c>
      <c r="H142" s="10">
        <f>(3*$F$142+$G$142)/4</f>
        <v>0.42188335086401202</v>
      </c>
      <c r="I142" s="3">
        <f t="shared" si="5"/>
        <v>3</v>
      </c>
      <c r="J142" s="12">
        <f>$H$142/$I$142</f>
        <v>0.14062778362133735</v>
      </c>
      <c r="K142" s="9" t="str">
        <f>IF($H$142&lt;=$I$142+0.00001,"OK","NON OK")</f>
        <v>OK</v>
      </c>
    </row>
    <row r="143" spans="2:11" ht="28.5" x14ac:dyDescent="0.25">
      <c r="B143" s="7" t="s">
        <v>97</v>
      </c>
      <c r="C143" s="10">
        <f>$F$85</f>
        <v>295.734375</v>
      </c>
      <c r="D143" s="5">
        <f>$K$85</f>
        <v>0.11442700903471233</v>
      </c>
      <c r="E143" s="11" t="str">
        <f>IF($F$85&lt;=0,"N ≤ 0 : soulèvement",IF($K$85&lt;=$F$18/6+0.000001,"e &lt; B/6 =&gt; Diagramme Trapézoïdal",IF($K$85&lt;$F$18/2,"e &gt; B/6 =&gt; Diagramme triangulaire","e ≥ B/2 : instable")))</f>
        <v>e &lt; B/6 =&gt; Diagramme Trapézoïdal</v>
      </c>
      <c r="F143" s="3">
        <f>IF($F$85&lt;=0,0,IF($K$85&lt;=$F$18/6+0.000001,$F$85/($F$18*$E$18)*(1+6*$K$85/$F$18),IF($K$85&lt;$F$18/2,2*$F$85/(3*$E$18*($F$18/2-$K$85)),1000000000)))/100</f>
        <v>0.48868377160030052</v>
      </c>
      <c r="G143" s="3">
        <f>IF($F$85&lt;=0,0,IF($K$85&lt;=$F$18/6+0.000001,$F$85/($F$18*$E$18)*(1-6*$K$85/$F$18),0))/100</f>
        <v>0.29342366641622841</v>
      </c>
      <c r="H143" s="10">
        <f>(3*$F$143+$G$143)/4</f>
        <v>0.43986874530428249</v>
      </c>
      <c r="I143" s="3">
        <f t="shared" si="5"/>
        <v>3</v>
      </c>
      <c r="J143" s="12">
        <f>$H$143/$I$143</f>
        <v>0.1466229151014275</v>
      </c>
      <c r="K143" s="9" t="str">
        <f>IF($H$143&lt;=$I$143+0.00001,"OK","NON OK")</f>
        <v>OK</v>
      </c>
    </row>
    <row r="144" spans="2:11" ht="28.5" x14ac:dyDescent="0.25">
      <c r="B144" s="7" t="s">
        <v>98</v>
      </c>
      <c r="C144" s="10">
        <f>$F$86</f>
        <v>353.33437500000002</v>
      </c>
      <c r="D144" s="5">
        <f>$K$86</f>
        <v>9.5773302555122189E-2</v>
      </c>
      <c r="E144" s="11" t="str">
        <f>IF($F$86&lt;=0,"N ≤ 0 : soulèvement",IF($K$86&lt;=$F$18/6+0.000001,"e &lt; B/6 =&gt; Diagramme Trapézoïdal",IF($K$86&lt;$F$18/2,"e &gt; B/6 =&gt; Diagramme triangulaire","e ≥ B/2 : instable")))</f>
        <v>e &lt; B/6 =&gt; Diagramme Trapézoïdal</v>
      </c>
      <c r="F144" s="3">
        <f>IF($F$86&lt;=0,0,IF($K$86&lt;=$F$18/6+0.000001,$F$86/($F$18*$E$18)*(1+6*$K$86/$F$18),IF($K$86&lt;$F$18/2,2*$F$86/(3*$E$18*($F$18/2-$K$86)),1000000000)))/100</f>
        <v>0.564849060856499</v>
      </c>
      <c r="G144" s="3">
        <f>IF($F$86&lt;=0,0,IF($K$86&lt;=$F$18/6+0.000001,$F$86/($F$18*$E$18)*(1-6*$K$86/$F$18),0))/100</f>
        <v>0.36958895567242678</v>
      </c>
      <c r="H144" s="10">
        <f>(3*$F$144+$G$144)/4</f>
        <v>0.51603403456048091</v>
      </c>
      <c r="I144" s="3">
        <f t="shared" si="5"/>
        <v>3</v>
      </c>
      <c r="J144" s="12">
        <f>$H$144/$I$144</f>
        <v>0.17201134485349365</v>
      </c>
      <c r="K144" s="9" t="str">
        <f>IF($H$144&lt;=$I$144+0.00001,"OK","NON OK")</f>
        <v>OK</v>
      </c>
    </row>
    <row r="146" spans="2:11" ht="20.100000000000001" customHeight="1" x14ac:dyDescent="0.25">
      <c r="B146" s="19" t="s">
        <v>140</v>
      </c>
      <c r="C146" s="18"/>
      <c r="D146" s="18"/>
      <c r="E146" s="18"/>
      <c r="F146" s="18"/>
      <c r="G146" s="18"/>
      <c r="H146" s="18"/>
      <c r="I146" s="18"/>
      <c r="J146" s="18"/>
      <c r="K146" s="18"/>
    </row>
    <row r="147" spans="2:11" ht="30" customHeight="1" x14ac:dyDescent="0.25">
      <c r="B147" s="24" t="s">
        <v>141</v>
      </c>
      <c r="C147" s="25"/>
      <c r="D147" s="25"/>
      <c r="E147" s="25"/>
      <c r="F147" s="25"/>
      <c r="G147" s="25"/>
      <c r="H147" s="25"/>
      <c r="I147" s="25"/>
      <c r="J147" s="25"/>
      <c r="K147" s="25"/>
    </row>
    <row r="148" spans="2:11" ht="20.100000000000001" customHeight="1" x14ac:dyDescent="0.25">
      <c r="B148" s="17" t="s">
        <v>63</v>
      </c>
      <c r="C148" s="18"/>
      <c r="D148" s="18"/>
      <c r="E148" s="1" t="s">
        <v>113</v>
      </c>
      <c r="F148" s="17" t="s">
        <v>142</v>
      </c>
      <c r="G148" s="18"/>
      <c r="H148" s="1" t="s">
        <v>143</v>
      </c>
      <c r="I148" s="1" t="s">
        <v>144</v>
      </c>
      <c r="J148" s="1" t="s">
        <v>145</v>
      </c>
      <c r="K148" s="1" t="s">
        <v>49</v>
      </c>
    </row>
    <row r="149" spans="2:11" ht="30" customHeight="1" x14ac:dyDescent="0.25">
      <c r="B149" s="33"/>
      <c r="C149" s="34"/>
      <c r="D149" s="34"/>
      <c r="E149" s="2"/>
      <c r="F149" s="33" t="s">
        <v>146</v>
      </c>
      <c r="G149" s="34"/>
      <c r="H149" s="2" t="s">
        <v>147</v>
      </c>
      <c r="I149" s="2" t="s">
        <v>148</v>
      </c>
      <c r="J149" s="2"/>
      <c r="K149" s="2"/>
    </row>
    <row r="150" spans="2:11" ht="15.75" x14ac:dyDescent="0.25">
      <c r="B150" s="22" t="s">
        <v>71</v>
      </c>
      <c r="C150" s="23"/>
      <c r="D150" s="23"/>
      <c r="E150" s="3">
        <v>1.35</v>
      </c>
      <c r="F150" s="15">
        <f>$G$27+$E$150*$J$57</f>
        <v>485.55140625000001</v>
      </c>
      <c r="G150" s="16"/>
      <c r="H150" s="3">
        <f>IF($F$150&lt;=0,0,IF(ABS($H$63)&lt;0.000001,999,$F$150*$E$18/2/ABS($H$63)))</f>
        <v>8.2791813441685278</v>
      </c>
      <c r="I150" s="3">
        <f>IF($F$150&lt;=0,0,IF(ABS($I$63)&lt;0.000001,999,$F$150*$F$18/2/ABS($I$63)))</f>
        <v>999</v>
      </c>
      <c r="J150" s="3">
        <v>1.5</v>
      </c>
      <c r="K150" s="9" t="str">
        <f>IF(MIN($H$150,$I$150)&gt;=$J$150-0.00001,"OK","NON OK")</f>
        <v>OK</v>
      </c>
    </row>
    <row r="151" spans="2:11" ht="15.75" x14ac:dyDescent="0.25">
      <c r="B151" s="22" t="s">
        <v>74</v>
      </c>
      <c r="C151" s="23"/>
      <c r="D151" s="23"/>
      <c r="E151" s="3">
        <v>1.35</v>
      </c>
      <c r="F151" s="15">
        <f>$G$28+$E$151*$J$57</f>
        <v>500.55140625000001</v>
      </c>
      <c r="G151" s="16"/>
      <c r="H151" s="3">
        <f>IF($F$151&lt;=0,0,IF(ABS($H$64)&lt;0.000001,999,$F$151*$E$18/2/ABS($H$64)))</f>
        <v>7.6269745522357049</v>
      </c>
      <c r="I151" s="3">
        <f>IF($F$151&lt;=0,0,IF(ABS($I$64)&lt;0.000001,999,$F$151*$F$18/2/ABS($I$64)))</f>
        <v>999</v>
      </c>
      <c r="J151" s="3">
        <v>1.5</v>
      </c>
      <c r="K151" s="9" t="str">
        <f>IF(MIN($H$151,$I$151)&gt;=$J$151-0.00001,"OK","NON OK")</f>
        <v>OK</v>
      </c>
    </row>
    <row r="152" spans="2:11" ht="15.75" x14ac:dyDescent="0.25">
      <c r="B152" s="22" t="s">
        <v>75</v>
      </c>
      <c r="C152" s="23"/>
      <c r="D152" s="23"/>
      <c r="E152" s="3">
        <v>1.35</v>
      </c>
      <c r="F152" s="15">
        <f>$G$29+$E$152*$J$57</f>
        <v>298.05140625000001</v>
      </c>
      <c r="G152" s="16"/>
      <c r="H152" s="3">
        <f>IF($F$152&lt;=0,0,IF(ABS($H$65)&lt;0.000001,999,$F$152*$E$18/2/ABS($H$65)))</f>
        <v>3.7406049981174698</v>
      </c>
      <c r="I152" s="3">
        <f>IF($F$152&lt;=0,0,IF(ABS($I$65)&lt;0.000001,999,$F$152*$F$18/2/ABS($I$65)))</f>
        <v>999</v>
      </c>
      <c r="J152" s="3">
        <v>1.5</v>
      </c>
      <c r="K152" s="9" t="str">
        <f>IF(MIN($H$152,$I$152)&gt;=$J$152-0.00001,"OK","NON OK")</f>
        <v>OK</v>
      </c>
    </row>
    <row r="153" spans="2:11" ht="15.75" x14ac:dyDescent="0.25">
      <c r="B153" s="22" t="s">
        <v>76</v>
      </c>
      <c r="C153" s="23"/>
      <c r="D153" s="23"/>
      <c r="E153" s="3">
        <v>1.35</v>
      </c>
      <c r="F153" s="15">
        <f>$G$30+$E$153*$J$57</f>
        <v>380.55140625000001</v>
      </c>
      <c r="G153" s="16"/>
      <c r="H153" s="3">
        <f>IF($F$153&lt;=0,0,IF(ABS($H$66)&lt;0.000001,999,$F$153*$E$18/2/ABS($H$66)))</f>
        <v>10.09371496129919</v>
      </c>
      <c r="I153" s="3">
        <f>IF($F$153&lt;=0,0,IF(ABS($I$66)&lt;0.000001,999,$F$153*$F$18/2/ABS($I$66)))</f>
        <v>6.9076987933168317</v>
      </c>
      <c r="J153" s="3">
        <v>1.5</v>
      </c>
      <c r="K153" s="9" t="str">
        <f>IF(MIN($H$153,$I$153)&gt;=$J$153-0.00001,"OK","NON OK")</f>
        <v>OK</v>
      </c>
    </row>
    <row r="154" spans="2:11" ht="15.75" x14ac:dyDescent="0.25">
      <c r="B154" s="22" t="s">
        <v>77</v>
      </c>
      <c r="C154" s="23"/>
      <c r="D154" s="23"/>
      <c r="E154" s="3">
        <v>1</v>
      </c>
      <c r="F154" s="15">
        <f>$G$31+$E$154*$J$57</f>
        <v>183.83437499999999</v>
      </c>
      <c r="G154" s="16"/>
      <c r="H154" s="3">
        <f>IF($F$154&lt;=0,0,IF(ABS($H$67)&lt;0.000001,999,$F$154*$E$18/2/ABS($H$67)))</f>
        <v>2.0550590701219513</v>
      </c>
      <c r="I154" s="3">
        <f>IF($F$154&lt;=0,0,IF(ABS($I$67)&lt;0.000001,999,$F$154*$F$18/2/ABS($I$67)))</f>
        <v>999</v>
      </c>
      <c r="J154" s="3">
        <v>1.5</v>
      </c>
      <c r="K154" s="9" t="str">
        <f>IF(MIN($H$154,$I$154)&gt;=$J$154-0.00001,"OK","NON OK")</f>
        <v>OK</v>
      </c>
    </row>
    <row r="155" spans="2:11" ht="15.75" x14ac:dyDescent="0.25">
      <c r="B155" s="22" t="s">
        <v>78</v>
      </c>
      <c r="C155" s="23"/>
      <c r="D155" s="23"/>
      <c r="E155" s="3">
        <v>1</v>
      </c>
      <c r="F155" s="15">
        <f>$G$32+$E$155*$J$57</f>
        <v>266.33437500000002</v>
      </c>
      <c r="G155" s="16"/>
      <c r="H155" s="3">
        <f>IF($F$155&lt;=0,0,IF(ABS($H$68)&lt;0.000001,999,$F$155*$E$18/2/ABS($H$68)))</f>
        <v>9.5367126464843768</v>
      </c>
      <c r="I155" s="3">
        <f>IF($F$155&lt;=0,0,IF(ABS($I$68)&lt;0.000001,999,$F$155*$F$18/2/ABS($I$68)))</f>
        <v>4.8344523514851492</v>
      </c>
      <c r="J155" s="3">
        <v>1.5</v>
      </c>
      <c r="K155" s="9" t="str">
        <f>IF(MIN($H$155,$I$155)&gt;=$J$155-0.00001,"OK","NON OK")</f>
        <v>OK</v>
      </c>
    </row>
    <row r="156" spans="2:11" ht="15.75" x14ac:dyDescent="0.25">
      <c r="B156" s="22" t="s">
        <v>79</v>
      </c>
      <c r="C156" s="23"/>
      <c r="D156" s="23"/>
      <c r="E156" s="3">
        <v>1.35</v>
      </c>
      <c r="F156" s="15">
        <f>$G$33+$E$156*$J$57</f>
        <v>352.80140625000001</v>
      </c>
      <c r="G156" s="16"/>
      <c r="H156" s="3">
        <f>IF($F$156&lt;=0,0,IF(ABS($H$69)&lt;0.000001,999,$F$156*$E$18/2/ABS($H$69)))</f>
        <v>7.1866953125000004</v>
      </c>
      <c r="I156" s="3">
        <f>IF($F$156&lt;=0,0,IF(ABS($I$69)&lt;0.000001,999,$F$156*$F$18/2/ABS($I$69)))</f>
        <v>999</v>
      </c>
      <c r="J156" s="3">
        <v>1.5</v>
      </c>
      <c r="K156" s="9" t="str">
        <f>IF(MIN($H$156,$I$156)&gt;=$J$156-0.00001,"OK","NON OK")</f>
        <v>OK</v>
      </c>
    </row>
    <row r="157" spans="2:11" ht="15.75" x14ac:dyDescent="0.25">
      <c r="B157" s="22" t="s">
        <v>80</v>
      </c>
      <c r="C157" s="23"/>
      <c r="D157" s="23"/>
      <c r="E157" s="3">
        <v>1.35</v>
      </c>
      <c r="F157" s="15">
        <f>$G$34+$E$157*$J$57</f>
        <v>427.05140625000001</v>
      </c>
      <c r="G157" s="16"/>
      <c r="H157" s="3">
        <f>IF($F$157&lt;=0,0,IF(ABS($H$70)&lt;0.000001,999,$F$157*$E$18/2/ABS($H$70)))</f>
        <v>7.5513848198784714</v>
      </c>
      <c r="I157" s="3">
        <f>IF($F$157&lt;=0,0,IF(ABS($I$70)&lt;0.000001,999,$F$157*$F$18/2/ABS($I$70)))</f>
        <v>8.6130646658415841</v>
      </c>
      <c r="J157" s="3">
        <v>1.5</v>
      </c>
      <c r="K157" s="9" t="str">
        <f>IF(MIN($H$157,$I$157)&gt;=$J$157-0.00001,"OK","NON OK")</f>
        <v>OK</v>
      </c>
    </row>
    <row r="158" spans="2:11" ht="15.75" x14ac:dyDescent="0.25">
      <c r="B158" s="22" t="s">
        <v>81</v>
      </c>
      <c r="C158" s="23"/>
      <c r="D158" s="23"/>
      <c r="E158" s="3">
        <v>1.35</v>
      </c>
      <c r="F158" s="15">
        <f>$G$35+$E$158*$J$57</f>
        <v>366.30140625000001</v>
      </c>
      <c r="G158" s="16"/>
      <c r="H158" s="3">
        <f>IF($F$158&lt;=0,0,IF(ABS($H$71)&lt;0.000001,999,$F$158*$E$18/2/ABS($H$71)))</f>
        <v>8.5569900372706424</v>
      </c>
      <c r="I158" s="3">
        <f>IF($F$158&lt;=0,0,IF(ABS($I$71)&lt;0.000001,999,$F$158*$F$18/2/ABS($I$71)))</f>
        <v>999</v>
      </c>
      <c r="J158" s="3">
        <v>1.5</v>
      </c>
      <c r="K158" s="9" t="str">
        <f>IF(MIN($H$158,$I$158)&gt;=$J$158-0.00001,"OK","NON OK")</f>
        <v>OK</v>
      </c>
    </row>
    <row r="159" spans="2:11" ht="15.75" x14ac:dyDescent="0.25">
      <c r="B159" s="22" t="s">
        <v>82</v>
      </c>
      <c r="C159" s="23"/>
      <c r="D159" s="23"/>
      <c r="E159" s="3">
        <v>1.35</v>
      </c>
      <c r="F159" s="15">
        <f>$G$36+$E$159*$J$57</f>
        <v>440.55140625000001</v>
      </c>
      <c r="G159" s="16"/>
      <c r="H159" s="3">
        <f>IF($F$159&lt;=0,0,IF(ABS($H$72)&lt;0.000001,999,$F$159*$E$18/2/ABS($H$72)))</f>
        <v>7.0110900878906248</v>
      </c>
      <c r="I159" s="3">
        <f>IF($F$159&lt;=0,0,IF(ABS($I$72)&lt;0.000001,999,$F$159*$F$18/2/ABS($I$72)))</f>
        <v>8.8853418935643571</v>
      </c>
      <c r="J159" s="3">
        <v>1.5</v>
      </c>
      <c r="K159" s="9" t="str">
        <f>IF(MIN($H$159,$I$159)&gt;=$J$159-0.00001,"OK","NON OK")</f>
        <v>OK</v>
      </c>
    </row>
    <row r="160" spans="2:11" ht="15.75" x14ac:dyDescent="0.25">
      <c r="B160" s="22" t="s">
        <v>83</v>
      </c>
      <c r="C160" s="23"/>
      <c r="D160" s="23"/>
      <c r="E160" s="3">
        <v>1</v>
      </c>
      <c r="F160" s="15">
        <f>$G$37+$E$160*$J$57</f>
        <v>356.33437500000002</v>
      </c>
      <c r="G160" s="16"/>
      <c r="H160" s="3">
        <f>IF($F$160&lt;=0,0,IF(ABS($H$73)&lt;0.000001,999,$F$160*$E$18/2/ABS($H$73)))</f>
        <v>8.5062459309895857</v>
      </c>
      <c r="I160" s="3">
        <f>IF($F$160&lt;=0,0,IF(ABS($I$73)&lt;0.000001,999,$F$160*$F$18/2/ABS($I$73)))</f>
        <v>999</v>
      </c>
      <c r="J160" s="3">
        <v>1.5</v>
      </c>
      <c r="K160" s="9" t="str">
        <f>IF(MIN($H$160,$I$160)&gt;=$J$160-0.00001,"OK","NON OK")</f>
        <v>OK</v>
      </c>
    </row>
    <row r="161" spans="2:11" ht="15.75" x14ac:dyDescent="0.25">
      <c r="B161" s="22" t="s">
        <v>85</v>
      </c>
      <c r="C161" s="23"/>
      <c r="D161" s="23"/>
      <c r="E161" s="3">
        <v>1</v>
      </c>
      <c r="F161" s="15">
        <f>$G$38+$E$161*$J$57</f>
        <v>366.33437500000002</v>
      </c>
      <c r="G161" s="16"/>
      <c r="H161" s="3">
        <f>IF($F$161&lt;=0,0,IF(ABS($H$74)&lt;0.000001,999,$F$161*$E$18/2/ABS($H$74)))</f>
        <v>7.8704650878906257</v>
      </c>
      <c r="I161" s="3">
        <f>IF($F$161&lt;=0,0,IF(ABS($I$74)&lt;0.000001,999,$F$161*$F$18/2/ABS($I$74)))</f>
        <v>999</v>
      </c>
      <c r="J161" s="3">
        <v>1.5</v>
      </c>
      <c r="K161" s="9" t="str">
        <f>IF(MIN($H$161,$I$161)&gt;=$J$161-0.00001,"OK","NON OK")</f>
        <v>OK</v>
      </c>
    </row>
    <row r="162" spans="2:11" ht="15.75" x14ac:dyDescent="0.25">
      <c r="B162" s="22" t="s">
        <v>86</v>
      </c>
      <c r="C162" s="23"/>
      <c r="D162" s="23"/>
      <c r="E162" s="3">
        <v>1</v>
      </c>
      <c r="F162" s="15">
        <f>$G$39+$E$162*$J$57</f>
        <v>231.33437499999999</v>
      </c>
      <c r="G162" s="16"/>
      <c r="H162" s="3">
        <f>IF($F$162&lt;=0,0,IF(ABS($H$75)&lt;0.000001,999,$F$162*$E$18/2/ABS($H$75)))</f>
        <v>4.5966006593208091</v>
      </c>
      <c r="I162" s="3">
        <f>IF($F$162&lt;=0,0,IF(ABS($I$75)&lt;0.000001,999,$F$162*$F$18/2/ABS($I$75)))</f>
        <v>999</v>
      </c>
      <c r="J162" s="3">
        <v>1.5</v>
      </c>
      <c r="K162" s="9" t="str">
        <f>IF(MIN($H$162,$I$162)&gt;=$J$162-0.00001,"OK","NON OK")</f>
        <v>OK</v>
      </c>
    </row>
    <row r="163" spans="2:11" ht="15.75" x14ac:dyDescent="0.25">
      <c r="B163" s="22" t="s">
        <v>87</v>
      </c>
      <c r="C163" s="23"/>
      <c r="D163" s="23"/>
      <c r="E163" s="3">
        <v>1</v>
      </c>
      <c r="F163" s="15">
        <f>$G$40+$E$163*$J$57</f>
        <v>286.33437500000002</v>
      </c>
      <c r="G163" s="16"/>
      <c r="H163" s="3">
        <f>IF($F$163&lt;=0,0,IF(ABS($H$76)&lt;0.000001,999,$F$163*$E$18/2/ABS($H$76)))</f>
        <v>10.252858479817711</v>
      </c>
      <c r="I163" s="3">
        <f>IF($F$163&lt;=0,0,IF(ABS($I$76)&lt;0.000001,999,$F$163*$F$18/2/ABS($I$76)))</f>
        <v>7.7962329826732679</v>
      </c>
      <c r="J163" s="3">
        <v>1.5</v>
      </c>
      <c r="K163" s="9" t="str">
        <f>IF(MIN($H$163,$I$163)&gt;=$J$163-0.00001,"OK","NON OK")</f>
        <v>OK</v>
      </c>
    </row>
    <row r="164" spans="2:11" ht="15.75" x14ac:dyDescent="0.25">
      <c r="B164" s="22" t="s">
        <v>88</v>
      </c>
      <c r="C164" s="23"/>
      <c r="D164" s="23"/>
      <c r="E164" s="3">
        <v>1</v>
      </c>
      <c r="F164" s="15">
        <f>$G$41+$E$164*$J$57</f>
        <v>267.83437500000002</v>
      </c>
      <c r="G164" s="16"/>
      <c r="H164" s="3">
        <f>IF($F$164&lt;=0,0,IF(ABS($H$77)&lt;0.000001,999,$F$164*$E$18/2/ABS($H$77)))</f>
        <v>8.9473339559037921</v>
      </c>
      <c r="I164" s="3">
        <f>IF($F$164&lt;=0,0,IF(ABS($I$77)&lt;0.000001,999,$F$164*$F$18/2/ABS($I$77)))</f>
        <v>999</v>
      </c>
      <c r="J164" s="3">
        <v>1.5</v>
      </c>
      <c r="K164" s="9" t="str">
        <f>IF(MIN($H$164,$I$164)&gt;=$J$164-0.00001,"OK","NON OK")</f>
        <v>OK</v>
      </c>
    </row>
    <row r="165" spans="2:11" ht="15.75" x14ac:dyDescent="0.25">
      <c r="B165" s="22" t="s">
        <v>89</v>
      </c>
      <c r="C165" s="23"/>
      <c r="D165" s="23"/>
      <c r="E165" s="3">
        <v>1</v>
      </c>
      <c r="F165" s="15">
        <f>$G$42+$E$165*$J$57</f>
        <v>317.33437500000002</v>
      </c>
      <c r="G165" s="16"/>
      <c r="H165" s="3">
        <f>IF($F$165&lt;=0,0,IF(ABS($H$78)&lt;0.000001,999,$F$165*$E$18/2/ABS($H$78)))</f>
        <v>7.8364720837823283</v>
      </c>
      <c r="I165" s="3">
        <f>IF($F$165&lt;=0,0,IF(ABS($I$78)&lt;0.000001,999,$F$165*$F$18/2/ABS($I$78)))</f>
        <v>9.6003248762376234</v>
      </c>
      <c r="J165" s="3">
        <v>1.5</v>
      </c>
      <c r="K165" s="9" t="str">
        <f>IF(MIN($H$165,$I$165)&gt;=$J$165-0.00001,"OK","NON OK")</f>
        <v>OK</v>
      </c>
    </row>
    <row r="166" spans="2:11" ht="15.75" x14ac:dyDescent="0.25">
      <c r="B166" s="22" t="s">
        <v>90</v>
      </c>
      <c r="C166" s="23"/>
      <c r="D166" s="23"/>
      <c r="E166" s="3">
        <v>1</v>
      </c>
      <c r="F166" s="15">
        <f>$G$43+$E$166*$J$57</f>
        <v>379.97437500000001</v>
      </c>
      <c r="G166" s="16"/>
      <c r="H166" s="3">
        <f>IF($F$166&lt;=0,0,IF(ABS($H$79)&lt;0.000001,999,$F$166*$E$18/2/ABS($H$79)))</f>
        <v>1.3865837728901276</v>
      </c>
      <c r="I166" s="3">
        <f>IF($F$166&lt;=0,0,IF(ABS($I$79)&lt;0.000001,999,$F$166*$F$18/2/ABS($I$79)))</f>
        <v>51.464220412234042</v>
      </c>
      <c r="J166" s="3">
        <v>1.3</v>
      </c>
      <c r="K166" s="9" t="str">
        <f>IF(MIN($H$166,$I$166)&gt;=$J$166-0.00001,"OK","NON OK")</f>
        <v>OK</v>
      </c>
    </row>
    <row r="167" spans="2:11" ht="15.75" x14ac:dyDescent="0.25">
      <c r="B167" s="22" t="s">
        <v>92</v>
      </c>
      <c r="C167" s="23"/>
      <c r="D167" s="23"/>
      <c r="E167" s="3">
        <v>1</v>
      </c>
      <c r="F167" s="15">
        <f>$G$44+$E$167*$J$57</f>
        <v>362.69437499999998</v>
      </c>
      <c r="G167" s="16"/>
      <c r="H167" s="3">
        <f>IF($F$167&lt;=0,0,IF(ABS($H$80)&lt;0.000001,999,$F$167*$E$18/2/ABS($H$80)))</f>
        <v>1.3235264480493631</v>
      </c>
      <c r="I167" s="3">
        <f>IF($F$167&lt;=0,0,IF(ABS($I$80)&lt;0.000001,999,$F$167*$F$18/2/ABS($I$80)))</f>
        <v>49.123794880319146</v>
      </c>
      <c r="J167" s="3">
        <v>1.3</v>
      </c>
      <c r="K167" s="9" t="str">
        <f>IF(MIN($H$167,$I$167)&gt;=$J$167-0.00001,"OK","NON OK")</f>
        <v>OK</v>
      </c>
    </row>
    <row r="168" spans="2:11" ht="15.75" x14ac:dyDescent="0.25">
      <c r="B168" s="22" t="s">
        <v>93</v>
      </c>
      <c r="C168" s="23"/>
      <c r="D168" s="23"/>
      <c r="E168" s="3">
        <v>1</v>
      </c>
      <c r="F168" s="15">
        <f>$G$45+$E$168*$J$57</f>
        <v>374.93437499999999</v>
      </c>
      <c r="G168" s="16"/>
      <c r="H168" s="3">
        <f>IF($F$168&lt;=0,0,IF(ABS($H$81)&lt;0.000001,999,$F$168*$E$18/2/ABS($H$81)))</f>
        <v>3.5812963044973323</v>
      </c>
      <c r="I168" s="3">
        <f>IF($F$168&lt;=0,0,IF(ABS($I$81)&lt;0.000001,999,$F$168*$F$18/2/ABS($I$81)))</f>
        <v>15.234478889627658</v>
      </c>
      <c r="J168" s="3">
        <v>1.3</v>
      </c>
      <c r="K168" s="9" t="str">
        <f>IF(MIN($H$168,$I$168)&gt;=$J$168-0.00001,"OK","NON OK")</f>
        <v>OK</v>
      </c>
    </row>
    <row r="169" spans="2:11" ht="15.75" x14ac:dyDescent="0.25">
      <c r="B169" s="22" t="s">
        <v>94</v>
      </c>
      <c r="C169" s="23"/>
      <c r="D169" s="23"/>
      <c r="E169" s="3">
        <v>1</v>
      </c>
      <c r="F169" s="15">
        <f>$G$46+$E$169*$J$57</f>
        <v>317.33437500000002</v>
      </c>
      <c r="G169" s="16"/>
      <c r="H169" s="3">
        <f>IF($F$169&lt;=0,0,IF(ABS($H$82)&lt;0.000001,999,$F$169*$E$18/2/ABS($H$82)))</f>
        <v>3.0311129100325114</v>
      </c>
      <c r="I169" s="3">
        <f>IF($F$169&lt;=0,0,IF(ABS($I$82)&lt;0.000001,999,$F$169*$F$18/2/ABS($I$82)))</f>
        <v>12.894053357712766</v>
      </c>
      <c r="J169" s="3">
        <v>1.3</v>
      </c>
      <c r="K169" s="9" t="str">
        <f>IF(MIN($H$169,$I$169)&gt;=$J$169-0.00001,"OK","NON OK")</f>
        <v>OK</v>
      </c>
    </row>
    <row r="170" spans="2:11" ht="15.75" x14ac:dyDescent="0.25">
      <c r="B170" s="22" t="s">
        <v>95</v>
      </c>
      <c r="C170" s="23"/>
      <c r="D170" s="23"/>
      <c r="E170" s="3">
        <v>1</v>
      </c>
      <c r="F170" s="15">
        <f>$G$47+$E$170*$J$57</f>
        <v>290.69437499999998</v>
      </c>
      <c r="G170" s="16"/>
      <c r="H170" s="3">
        <f>IF($F$170&lt;=0,0,IF(ABS($H$83)&lt;0.000001,999,$F$170*$E$18/2/ABS($H$83)))</f>
        <v>1.3855545120112311</v>
      </c>
      <c r="I170" s="3">
        <f>IF($F$170&lt;=0,0,IF(ABS($I$83)&lt;0.000001,999,$F$170*$F$18/2/ABS($I$83)))</f>
        <v>39.372021830673752</v>
      </c>
      <c r="J170" s="3">
        <v>1.3</v>
      </c>
      <c r="K170" s="9" t="str">
        <f>IF(MIN($H$170,$I$170)&gt;=$J$170-0.00001,"OK","NON OK")</f>
        <v>OK</v>
      </c>
    </row>
    <row r="171" spans="2:11" ht="15.75" x14ac:dyDescent="0.25">
      <c r="B171" s="22" t="s">
        <v>96</v>
      </c>
      <c r="C171" s="23"/>
      <c r="D171" s="23"/>
      <c r="E171" s="3">
        <v>1</v>
      </c>
      <c r="F171" s="15">
        <f>$G$48+$E$171*$J$57</f>
        <v>307.97437500000001</v>
      </c>
      <c r="G171" s="16"/>
      <c r="H171" s="3">
        <f>IF($F$171&lt;=0,0,IF(ABS($H$84)&lt;0.000001,999,$F$171*$E$18/2/ABS($H$84)))</f>
        <v>1.467917240796589</v>
      </c>
      <c r="I171" s="3">
        <f>IF($F$171&lt;=0,0,IF(ABS($I$84)&lt;0.000001,999,$F$171*$F$18/2/ABS($I$84)))</f>
        <v>41.712447362588655</v>
      </c>
      <c r="J171" s="3">
        <v>1.3</v>
      </c>
      <c r="K171" s="9" t="str">
        <f>IF(MIN($H$171,$I$171)&gt;=$J$171-0.00001,"OK","NON OK")</f>
        <v>OK</v>
      </c>
    </row>
    <row r="172" spans="2:11" ht="15.75" x14ac:dyDescent="0.25">
      <c r="B172" s="22" t="s">
        <v>97</v>
      </c>
      <c r="C172" s="23"/>
      <c r="D172" s="23"/>
      <c r="E172" s="3">
        <v>1</v>
      </c>
      <c r="F172" s="15">
        <f>$G$49+$E$172*$J$57</f>
        <v>295.734375</v>
      </c>
      <c r="G172" s="16"/>
      <c r="H172" s="3">
        <f>IF($F$172&lt;=0,0,IF(ABS($H$85)&lt;0.000001,999,$F$172*$E$18/2/ABS($H$85)))</f>
        <v>7.3093680907571175</v>
      </c>
      <c r="I172" s="3">
        <f>IF($F$172&lt;=0,0,IF(ABS($I$85)&lt;0.000001,999,$F$172*$F$18/2/ABS($I$85)))</f>
        <v>12.016393783244679</v>
      </c>
      <c r="J172" s="3">
        <v>1.3</v>
      </c>
      <c r="K172" s="9" t="str">
        <f>IF(MIN($H$172,$I$172)&gt;=$J$172-0.00001,"OK","NON OK")</f>
        <v>OK</v>
      </c>
    </row>
    <row r="173" spans="2:11" ht="15.75" x14ac:dyDescent="0.25">
      <c r="B173" s="22" t="s">
        <v>98</v>
      </c>
      <c r="C173" s="23"/>
      <c r="D173" s="23"/>
      <c r="E173" s="3">
        <v>1</v>
      </c>
      <c r="F173" s="15">
        <f>$G$50+$E$173*$J$57</f>
        <v>353.33437500000002</v>
      </c>
      <c r="G173" s="16"/>
      <c r="H173" s="3">
        <f>IF($F$173&lt;=0,0,IF(ABS($H$86)&lt;0.000001,999,$F$173*$E$18/2/ABS($H$86)))</f>
        <v>8.7330091606449525</v>
      </c>
      <c r="I173" s="3">
        <f>IF($F$173&lt;=0,0,IF(ABS($I$86)&lt;0.000001,999,$F$173*$F$18/2/ABS($I$86)))</f>
        <v>14.356819315159575</v>
      </c>
      <c r="J173" s="3">
        <v>1.3</v>
      </c>
      <c r="K173" s="9" t="str">
        <f>IF(MIN($H$173,$I$173)&gt;=$J$173-0.00001,"OK","NON OK")</f>
        <v>OK</v>
      </c>
    </row>
    <row r="175" spans="2:11" ht="20.100000000000001" customHeight="1" x14ac:dyDescent="0.25">
      <c r="B175" s="19" t="s">
        <v>149</v>
      </c>
      <c r="C175" s="18"/>
      <c r="D175" s="18"/>
      <c r="E175" s="18"/>
      <c r="F175" s="18"/>
      <c r="G175" s="18"/>
      <c r="H175" s="18"/>
      <c r="I175" s="18"/>
      <c r="J175" s="18"/>
      <c r="K175" s="18"/>
    </row>
    <row r="176" spans="2:11" ht="30" customHeight="1" x14ac:dyDescent="0.25">
      <c r="B176" s="24" t="s">
        <v>150</v>
      </c>
      <c r="C176" s="25"/>
      <c r="D176" s="25"/>
      <c r="E176" s="25"/>
      <c r="F176" s="25"/>
      <c r="G176" s="25"/>
      <c r="H176" s="25"/>
      <c r="I176" s="25"/>
      <c r="J176" s="25"/>
      <c r="K176" s="25"/>
    </row>
    <row r="177" spans="2:11" ht="20.100000000000001" customHeight="1" x14ac:dyDescent="0.25">
      <c r="B177" s="17" t="s">
        <v>63</v>
      </c>
      <c r="C177" s="18"/>
      <c r="D177" s="1" t="s">
        <v>151</v>
      </c>
      <c r="E177" s="1" t="s">
        <v>142</v>
      </c>
      <c r="F177" s="1" t="s">
        <v>152</v>
      </c>
      <c r="G177" s="1" t="s">
        <v>153</v>
      </c>
      <c r="H177" s="1" t="s">
        <v>154</v>
      </c>
      <c r="I177" s="1" t="s">
        <v>155</v>
      </c>
      <c r="J177" s="1" t="s">
        <v>145</v>
      </c>
      <c r="K177" s="1" t="s">
        <v>49</v>
      </c>
    </row>
    <row r="178" spans="2:11" ht="30" customHeight="1" x14ac:dyDescent="0.25">
      <c r="B178" s="33"/>
      <c r="C178" s="34"/>
      <c r="D178" s="2" t="s">
        <v>156</v>
      </c>
      <c r="E178" s="2" t="s">
        <v>146</v>
      </c>
      <c r="F178" s="2"/>
      <c r="G178" s="2"/>
      <c r="H178" s="2" t="s">
        <v>157</v>
      </c>
      <c r="I178" s="2" t="s">
        <v>158</v>
      </c>
      <c r="J178" s="2"/>
      <c r="K178" s="2"/>
    </row>
    <row r="179" spans="2:11" ht="15.75" x14ac:dyDescent="0.25">
      <c r="B179" s="22" t="s">
        <v>71</v>
      </c>
      <c r="C179" s="23"/>
      <c r="D179" s="3">
        <f>SQRT($J$27^2+$K$27^2)</f>
        <v>25.2</v>
      </c>
      <c r="E179" s="10">
        <f>$G$27+1.35*$J$57</f>
        <v>485.55140625000001</v>
      </c>
      <c r="F179" s="5">
        <f>IF($E$179&lt;=0,0,IF(ABS($H$63)/$E$179&lt;=$E$18/6+0.000001,$E$18,MIN(3*($E$18/2-ABS($H$63)/$E$179),$E$18)))</f>
        <v>2.75</v>
      </c>
      <c r="G179" s="5">
        <f>IF($E$179&lt;=0,0,IF(ABS($I$63)/$E$179&lt;=$F$18/6+0.000001,$F$18,MIN(3*($F$18/2-ABS($I$63)/$E$179),$F$18)))</f>
        <v>2.75</v>
      </c>
      <c r="H179" s="3">
        <f>MAX($E$179,0)*TAN(RADIANS($J$7))+$K$7*$F$179*$G$179</f>
        <v>258.17226225961929</v>
      </c>
      <c r="I179" s="3">
        <f>$H$179/$D$179</f>
        <v>10.244931042048385</v>
      </c>
      <c r="J179" s="3">
        <v>1.5</v>
      </c>
      <c r="K179" s="9" t="str">
        <f>IF($I$179&gt;=$J$179-0.00001,"OK","NON OK")</f>
        <v>OK</v>
      </c>
    </row>
    <row r="180" spans="2:11" ht="15.75" x14ac:dyDescent="0.25">
      <c r="B180" s="22" t="s">
        <v>74</v>
      </c>
      <c r="C180" s="23"/>
      <c r="D180" s="3">
        <f>SQRT($J$28^2+$K$28^2)</f>
        <v>28.2</v>
      </c>
      <c r="E180" s="10">
        <f>$G$28+1.35*$J$57</f>
        <v>500.55140625000001</v>
      </c>
      <c r="F180" s="5">
        <f>IF($E$180&lt;=0,0,IF(ABS($H$64)/$E$180&lt;=$E$18/6+0.000001,$E$18,MIN(3*($E$18/2-ABS($H$64)/$E$180),$E$18)))</f>
        <v>2.75</v>
      </c>
      <c r="G180" s="5">
        <f>IF($E$180&lt;=0,0,IF(ABS($I$64)/$E$180&lt;=$F$18/6+0.000001,$F$18,MIN(3*($F$18/2-ABS($I$64)/$E$180),$F$18)))</f>
        <v>2.75</v>
      </c>
      <c r="H180" s="3">
        <f>MAX($E$180,0)*TAN(RADIANS($J$7))+$K$7*$F$180*$G$180</f>
        <v>266.1479037345415</v>
      </c>
      <c r="I180" s="3">
        <f>$H$180/$D$180</f>
        <v>9.4378689267567903</v>
      </c>
      <c r="J180" s="3">
        <v>1.5</v>
      </c>
      <c r="K180" s="9" t="str">
        <f>IF($I$180&gt;=$J$180-0.00001,"OK","NON OK")</f>
        <v>OK</v>
      </c>
    </row>
    <row r="181" spans="2:11" ht="15.75" x14ac:dyDescent="0.25">
      <c r="B181" s="22" t="s">
        <v>75</v>
      </c>
      <c r="C181" s="23"/>
      <c r="D181" s="3">
        <f>SQRT($J$29^2+$K$29^2)</f>
        <v>25.8</v>
      </c>
      <c r="E181" s="10">
        <f>$G$29+1.35*$J$57</f>
        <v>298.05140625000001</v>
      </c>
      <c r="F181" s="5">
        <f>IF($E$181&lt;=0,0,IF(ABS($H$65)/$E$181&lt;=$E$18/6+0.000001,$E$18,MIN(3*($E$18/2-ABS($H$65)/$E$181),$E$18)))</f>
        <v>2.75</v>
      </c>
      <c r="G181" s="5">
        <f>IF($E$181&lt;=0,0,IF(ABS($I$65)/$E$181&lt;=$F$18/6+0.000001,$F$18,MIN(3*($F$18/2-ABS($I$65)/$E$181),$F$18)))</f>
        <v>2.75</v>
      </c>
      <c r="H181" s="3">
        <f>MAX($E$181,0)*TAN(RADIANS($J$7))+$K$7*$F$181*$G$181</f>
        <v>158.47674382309202</v>
      </c>
      <c r="I181" s="3">
        <f>$H$181/$D$181</f>
        <v>6.1425094505074425</v>
      </c>
      <c r="J181" s="3">
        <v>1.5</v>
      </c>
      <c r="K181" s="9" t="str">
        <f>IF($I$181&gt;=$J$181-0.00001,"OK","NON OK")</f>
        <v>OK</v>
      </c>
    </row>
    <row r="182" spans="2:11" ht="15.75" x14ac:dyDescent="0.25">
      <c r="B182" s="22" t="s">
        <v>76</v>
      </c>
      <c r="C182" s="23"/>
      <c r="D182" s="3">
        <f>SQRT($J$30^2+$K$30^2)</f>
        <v>27.725259241348855</v>
      </c>
      <c r="E182" s="10">
        <f>$G$30+1.35*$J$57</f>
        <v>380.55140625000001</v>
      </c>
      <c r="F182" s="5">
        <f>IF($E$182&lt;=0,0,IF(ABS($H$66)/$E$182&lt;=$E$18/6+0.000001,$E$18,MIN(3*($E$18/2-ABS($H$66)/$E$182),$E$18)))</f>
        <v>2.75</v>
      </c>
      <c r="G182" s="5">
        <f>IF($E$182&lt;=0,0,IF(ABS($I$66)/$E$182&lt;=$F$18/6+0.000001,$F$18,MIN(3*($F$18/2-ABS($I$66)/$E$182),$F$18)))</f>
        <v>2.75</v>
      </c>
      <c r="H182" s="3">
        <f>MAX($E$182,0)*TAN(RADIANS($J$7))+$K$7*$F$182*$G$182</f>
        <v>202.34277193516402</v>
      </c>
      <c r="I182" s="3">
        <f>$H$182/$D$182</f>
        <v>7.2981381408832551</v>
      </c>
      <c r="J182" s="3">
        <v>1.5</v>
      </c>
      <c r="K182" s="9" t="str">
        <f>IF($I$182&gt;=$J$182-0.00001,"OK","NON OK")</f>
        <v>OK</v>
      </c>
    </row>
    <row r="183" spans="2:11" ht="15.75" x14ac:dyDescent="0.25">
      <c r="B183" s="22" t="s">
        <v>77</v>
      </c>
      <c r="C183" s="23"/>
      <c r="D183" s="3">
        <f>SQRT($J$31^2+$K$31^2)</f>
        <v>30</v>
      </c>
      <c r="E183" s="10">
        <f>$G$31+1*$J$57</f>
        <v>183.83437499999999</v>
      </c>
      <c r="F183" s="5">
        <f>IF($E$183&lt;=0,0,IF(ABS($H$67)/$E$183&lt;=$E$18/6+0.000001,$E$18,MIN(3*($E$18/2-ABS($H$67)/$E$183),$E$18)))</f>
        <v>2.1177584272527921</v>
      </c>
      <c r="G183" s="5">
        <f>IF($E$183&lt;=0,0,IF(ABS($I$67)/$E$183&lt;=$F$18/6+0.000001,$F$18,MIN(3*($F$18/2-ABS($I$67)/$E$183),$F$18)))</f>
        <v>2.75</v>
      </c>
      <c r="H183" s="3">
        <f>MAX($E$183,0)*TAN(RADIANS($J$7))+$K$7*$F$183*$G$183</f>
        <v>97.746471051093152</v>
      </c>
      <c r="I183" s="3">
        <f>$H$183/$D$183</f>
        <v>3.2582157017031053</v>
      </c>
      <c r="J183" s="3">
        <v>1.5</v>
      </c>
      <c r="K183" s="9" t="str">
        <f>IF($I$183&gt;=$J$183-0.00001,"OK","NON OK")</f>
        <v>OK</v>
      </c>
    </row>
    <row r="184" spans="2:11" ht="15.75" x14ac:dyDescent="0.25">
      <c r="B184" s="22" t="s">
        <v>78</v>
      </c>
      <c r="C184" s="23"/>
      <c r="D184" s="3">
        <f>SQRT($J$32^2+$K$32^2)</f>
        <v>25.5</v>
      </c>
      <c r="E184" s="10">
        <f>$G$32+1*$J$57</f>
        <v>266.33437500000002</v>
      </c>
      <c r="F184" s="5">
        <f>IF($E$184&lt;=0,0,IF(ABS($H$68)/$E$184&lt;=$E$18/6+0.000001,$E$18,MIN(3*($E$18/2-ABS($H$68)/$E$184),$E$18)))</f>
        <v>2.75</v>
      </c>
      <c r="G184" s="5">
        <f>IF($E$184&lt;=0,0,IF(ABS($I$68)/$E$184&lt;=$F$18/6+0.000001,$F$18,MIN(3*($F$18/2-ABS($I$68)/$E$184),$F$18)))</f>
        <v>2.75</v>
      </c>
      <c r="H184" s="3">
        <f>MAX($E$184,0)*TAN(RADIANS($J$7))+$K$7*$F$184*$G$184</f>
        <v>141.61249916316518</v>
      </c>
      <c r="I184" s="3">
        <f>$H$184/$D$184</f>
        <v>5.5534313397319677</v>
      </c>
      <c r="J184" s="3">
        <v>1.5</v>
      </c>
      <c r="K184" s="9" t="str">
        <f>IF($I$184&gt;=$J$184-0.00001,"OK","NON OK")</f>
        <v>OK</v>
      </c>
    </row>
    <row r="185" spans="2:11" ht="15.75" x14ac:dyDescent="0.25">
      <c r="B185" s="22" t="s">
        <v>79</v>
      </c>
      <c r="C185" s="23"/>
      <c r="D185" s="3">
        <f>SQRT($J$33^2+$K$33^2)</f>
        <v>13.5</v>
      </c>
      <c r="E185" s="10">
        <f>$G$33+1.35*$J$57</f>
        <v>352.80140625000001</v>
      </c>
      <c r="F185" s="5">
        <f>IF($E$185&lt;=0,0,IF(ABS($H$69)/$E$185&lt;=$E$18/6+0.000001,$E$18,MIN(3*($E$18/2-ABS($H$69)/$E$185),$E$18)))</f>
        <v>2.75</v>
      </c>
      <c r="G185" s="5">
        <f>IF($E$185&lt;=0,0,IF(ABS($I$69)/$E$185&lt;=$F$18/6+0.000001,$F$18,MIN(3*($F$18/2-ABS($I$69)/$E$185),$F$18)))</f>
        <v>2.75</v>
      </c>
      <c r="H185" s="3">
        <f>MAX($E$185,0)*TAN(RADIANS($J$7))+$K$7*$F$185*$G$185</f>
        <v>187.587835206558</v>
      </c>
      <c r="I185" s="3">
        <f>$H$185/$D$185</f>
        <v>13.895395200485778</v>
      </c>
      <c r="J185" s="3">
        <v>1.5</v>
      </c>
      <c r="K185" s="9" t="str">
        <f>IF($I$185&gt;=$J$185-0.00001,"OK","NON OK")</f>
        <v>OK</v>
      </c>
    </row>
    <row r="186" spans="2:11" ht="15.75" x14ac:dyDescent="0.25">
      <c r="B186" s="22" t="s">
        <v>80</v>
      </c>
      <c r="C186" s="23"/>
      <c r="D186" s="3">
        <f>SQRT($J$34^2+$K$34^2)</f>
        <v>31.63151118742195</v>
      </c>
      <c r="E186" s="10">
        <f>$G$34+1.35*$J$57</f>
        <v>427.05140625000001</v>
      </c>
      <c r="F186" s="5">
        <f>IF($E$186&lt;=0,0,IF(ABS($H$70)/$E$186&lt;=$E$18/6+0.000001,$E$18,MIN(3*($E$18/2-ABS($H$70)/$E$186),$E$18)))</f>
        <v>2.75</v>
      </c>
      <c r="G186" s="5">
        <f>IF($E$186&lt;=0,0,IF(ABS($I$70)/$E$186&lt;=$F$18/6+0.000001,$F$18,MIN(3*($F$18/2-ABS($I$70)/$E$186),$F$18)))</f>
        <v>2.75</v>
      </c>
      <c r="H186" s="3">
        <f>MAX($E$186,0)*TAN(RADIANS($J$7))+$K$7*$F$186*$G$186</f>
        <v>227.06726050742279</v>
      </c>
      <c r="I186" s="3">
        <f>$H$186/$D$186</f>
        <v>7.1785144617976551</v>
      </c>
      <c r="J186" s="3">
        <v>1.5</v>
      </c>
      <c r="K186" s="9" t="str">
        <f>IF($I$186&gt;=$J$186-0.00001,"OK","NON OK")</f>
        <v>OK</v>
      </c>
    </row>
    <row r="187" spans="2:11" ht="15.75" x14ac:dyDescent="0.25">
      <c r="B187" s="22" t="s">
        <v>81</v>
      </c>
      <c r="C187" s="23"/>
      <c r="D187" s="3">
        <f>SQRT($J$35^2+$K$35^2)</f>
        <v>10.8</v>
      </c>
      <c r="E187" s="10">
        <f>$G$35+1.35*$J$57</f>
        <v>366.30140625000001</v>
      </c>
      <c r="F187" s="5">
        <f>IF($E$187&lt;=0,0,IF(ABS($H$71)/$E$187&lt;=$E$18/6+0.000001,$E$18,MIN(3*($E$18/2-ABS($H$71)/$E$187),$E$18)))</f>
        <v>2.75</v>
      </c>
      <c r="G187" s="5">
        <f>IF($E$187&lt;=0,0,IF(ABS($I$71)/$E$187&lt;=$F$18/6+0.000001,$F$18,MIN(3*($F$18/2-ABS($I$71)/$E$187),$F$18)))</f>
        <v>2.75</v>
      </c>
      <c r="H187" s="3">
        <f>MAX($E$187,0)*TAN(RADIANS($J$7))+$K$7*$F$187*$G$187</f>
        <v>194.76591253398794</v>
      </c>
      <c r="I187" s="3">
        <f>$H$187/$D$187</f>
        <v>18.033880790184067</v>
      </c>
      <c r="J187" s="3">
        <v>1.5</v>
      </c>
      <c r="K187" s="9" t="str">
        <f>IF($I$187&gt;=$J$187-0.00001,"OK","NON OK")</f>
        <v>OK</v>
      </c>
    </row>
    <row r="188" spans="2:11" ht="15.75" x14ac:dyDescent="0.25">
      <c r="B188" s="22" t="s">
        <v>82</v>
      </c>
      <c r="C188" s="23"/>
      <c r="D188" s="3">
        <f>SQRT($J$36^2+$K$36^2)</f>
        <v>33.75</v>
      </c>
      <c r="E188" s="10">
        <f>$G$36+1.35*$J$57</f>
        <v>440.55140625000001</v>
      </c>
      <c r="F188" s="5">
        <f>IF($E$188&lt;=0,0,IF(ABS($H$72)/$E$188&lt;=$E$18/6+0.000001,$E$18,MIN(3*($E$18/2-ABS($H$72)/$E$188),$E$18)))</f>
        <v>2.75</v>
      </c>
      <c r="G188" s="5">
        <f>IF($E$188&lt;=0,0,IF(ABS($I$72)/$E$188&lt;=$F$18/6+0.000001,$F$18,MIN(3*($F$18/2-ABS($I$72)/$E$188),$F$18)))</f>
        <v>2.75</v>
      </c>
      <c r="H188" s="3">
        <f>MAX($E$188,0)*TAN(RADIANS($J$7))+$K$7*$F$188*$G$188</f>
        <v>234.24533783485276</v>
      </c>
      <c r="I188" s="3">
        <f>$H$188/$D$188</f>
        <v>6.9406026025141561</v>
      </c>
      <c r="J188" s="3">
        <v>1.5</v>
      </c>
      <c r="K188" s="9" t="str">
        <f>IF($I$188&gt;=$J$188-0.00001,"OK","NON OK")</f>
        <v>OK</v>
      </c>
    </row>
    <row r="189" spans="2:11" ht="15.75" x14ac:dyDescent="0.25">
      <c r="B189" s="22" t="s">
        <v>83</v>
      </c>
      <c r="C189" s="23"/>
      <c r="D189" s="3">
        <f>SQRT($J$37^2+$K$37^2)</f>
        <v>18</v>
      </c>
      <c r="E189" s="10">
        <f>$G$37+1*$J$57</f>
        <v>356.33437500000002</v>
      </c>
      <c r="F189" s="5">
        <f>IF($E$189&lt;=0,0,IF(ABS($H$73)/$E$189&lt;=$E$18/6+0.000001,$E$18,MIN(3*($E$18/2-ABS($H$73)/$E$189),$E$18)))</f>
        <v>2.75</v>
      </c>
      <c r="G189" s="5">
        <f>IF($E$189&lt;=0,0,IF(ABS($I$73)/$E$189&lt;=$F$18/6+0.000001,$F$18,MIN(3*($F$18/2-ABS($I$73)/$E$189),$F$18)))</f>
        <v>2.75</v>
      </c>
      <c r="H189" s="3">
        <f>MAX($E$189,0)*TAN(RADIANS($J$7))+$K$7*$F$189*$G$189</f>
        <v>189.46634801269826</v>
      </c>
      <c r="I189" s="3">
        <f>$H$189/$D$189</f>
        <v>10.525908222927681</v>
      </c>
      <c r="J189" s="3">
        <v>1.5</v>
      </c>
      <c r="K189" s="9" t="str">
        <f>IF($I$189&gt;=$J$189-0.00001,"OK","NON OK")</f>
        <v>OK</v>
      </c>
    </row>
    <row r="190" spans="2:11" ht="15.75" x14ac:dyDescent="0.25">
      <c r="B190" s="22" t="s">
        <v>85</v>
      </c>
      <c r="C190" s="23"/>
      <c r="D190" s="3">
        <f>SQRT($J$38^2+$K$38^2)</f>
        <v>20</v>
      </c>
      <c r="E190" s="10">
        <f>$G$38+1*$J$57</f>
        <v>366.33437500000002</v>
      </c>
      <c r="F190" s="5">
        <f>IF($E$190&lt;=0,0,IF(ABS($H$74)/$E$190&lt;=$E$18/6+0.000001,$E$18,MIN(3*($E$18/2-ABS($H$74)/$E$190),$E$18)))</f>
        <v>2.75</v>
      </c>
      <c r="G190" s="5">
        <f>IF($E$190&lt;=0,0,IF(ABS($I$74)/$E$190&lt;=$F$18/6+0.000001,$F$18,MIN(3*($F$18/2-ABS($I$74)/$E$190),$F$18)))</f>
        <v>2.75</v>
      </c>
      <c r="H190" s="3">
        <f>MAX($E$190,0)*TAN(RADIANS($J$7))+$K$7*$F$190*$G$190</f>
        <v>194.78344232931306</v>
      </c>
      <c r="I190" s="3">
        <f>$H$190/$D$190</f>
        <v>9.7391721164656531</v>
      </c>
      <c r="J190" s="3">
        <v>1.5</v>
      </c>
      <c r="K190" s="9" t="str">
        <f>IF($I$190&gt;=$J$190-0.00001,"OK","NON OK")</f>
        <v>OK</v>
      </c>
    </row>
    <row r="191" spans="2:11" ht="15.75" x14ac:dyDescent="0.25">
      <c r="B191" s="22" t="s">
        <v>86</v>
      </c>
      <c r="C191" s="23"/>
      <c r="D191" s="3">
        <f>SQRT($J$39^2+$K$39^2)</f>
        <v>16</v>
      </c>
      <c r="E191" s="10">
        <f>$G$39+1*$J$57</f>
        <v>231.33437499999999</v>
      </c>
      <c r="F191" s="5">
        <f>IF($E$191&lt;=0,0,IF(ABS($H$75)/$E$191&lt;=$E$18/6+0.000001,$E$18,MIN(3*($E$18/2-ABS($H$75)/$E$191),$E$18)))</f>
        <v>2.75</v>
      </c>
      <c r="G191" s="5">
        <f>IF($E$191&lt;=0,0,IF(ABS($I$75)/$E$191&lt;=$F$18/6+0.000001,$F$18,MIN(3*($F$18/2-ABS($I$75)/$E$191),$F$18)))</f>
        <v>2.75</v>
      </c>
      <c r="H191" s="3">
        <f>MAX($E$191,0)*TAN(RADIANS($J$7))+$K$7*$F$191*$G$191</f>
        <v>123.0026690550134</v>
      </c>
      <c r="I191" s="3">
        <f>$H$191/$D$191</f>
        <v>7.6876668159383375</v>
      </c>
      <c r="J191" s="3">
        <v>1.5</v>
      </c>
      <c r="K191" s="9" t="str">
        <f>IF($I$191&gt;=$J$191-0.00001,"OK","NON OK")</f>
        <v>OK</v>
      </c>
    </row>
    <row r="192" spans="2:11" ht="15.75" x14ac:dyDescent="0.25">
      <c r="B192" s="22" t="s">
        <v>87</v>
      </c>
      <c r="C192" s="23"/>
      <c r="D192" s="3">
        <f>SQRT($J$40^2+$K$40^2)</f>
        <v>19.209372712298546</v>
      </c>
      <c r="E192" s="10">
        <f>$G$40+1*$J$57</f>
        <v>286.33437500000002</v>
      </c>
      <c r="F192" s="5">
        <f>IF($E$192&lt;=0,0,IF(ABS($H$76)/$E$192&lt;=$E$18/6+0.000001,$E$18,MIN(3*($E$18/2-ABS($H$76)/$E$192),$E$18)))</f>
        <v>2.75</v>
      </c>
      <c r="G192" s="5">
        <f>IF($E$192&lt;=0,0,IF(ABS($I$76)/$E$192&lt;=$F$18/6+0.000001,$F$18,MIN(3*($F$18/2-ABS($I$76)/$E$192),$F$18)))</f>
        <v>2.75</v>
      </c>
      <c r="H192" s="3">
        <f>MAX($E$192,0)*TAN(RADIANS($J$7))+$K$7*$F$192*$G$192</f>
        <v>152.24668779639475</v>
      </c>
      <c r="I192" s="3">
        <f>$H$192/$D$192</f>
        <v>7.9256459894143676</v>
      </c>
      <c r="J192" s="3">
        <v>1.5</v>
      </c>
      <c r="K192" s="9" t="str">
        <f>IF($I$192&gt;=$J$192-0.00001,"OK","NON OK")</f>
        <v>OK</v>
      </c>
    </row>
    <row r="193" spans="2:11" ht="15.75" x14ac:dyDescent="0.25">
      <c r="B193" s="22" t="s">
        <v>88</v>
      </c>
      <c r="C193" s="23"/>
      <c r="D193" s="3">
        <f>SQRT($J$41^2+$K$41^2)</f>
        <v>7.8</v>
      </c>
      <c r="E193" s="10">
        <f>$G$41+1*$J$57</f>
        <v>267.83437500000002</v>
      </c>
      <c r="F193" s="5">
        <f>IF($E$193&lt;=0,0,IF(ABS($H$77)/$E$193&lt;=$E$18/6+0.000001,$E$18,MIN(3*($E$18/2-ABS($H$77)/$E$193),$E$18)))</f>
        <v>2.75</v>
      </c>
      <c r="G193" s="5">
        <f>IF($E$193&lt;=0,0,IF(ABS($I$77)/$E$193&lt;=$F$18/6+0.000001,$F$18,MIN(3*($F$18/2-ABS($I$77)/$E$193),$F$18)))</f>
        <v>2.75</v>
      </c>
      <c r="H193" s="3">
        <f>MAX($E$193,0)*TAN(RADIANS($J$7))+$K$7*$F$193*$G$193</f>
        <v>142.41006331065739</v>
      </c>
      <c r="I193" s="3">
        <f>$H$193/$D$193</f>
        <v>18.257700424443257</v>
      </c>
      <c r="J193" s="3">
        <v>1.5</v>
      </c>
      <c r="K193" s="9" t="str">
        <f>IF($I$193&gt;=$J$193-0.00001,"OK","NON OK")</f>
        <v>OK</v>
      </c>
    </row>
    <row r="194" spans="2:11" ht="15.75" x14ac:dyDescent="0.25">
      <c r="B194" s="22" t="s">
        <v>89</v>
      </c>
      <c r="C194" s="23"/>
      <c r="D194" s="3">
        <f>SQRT($J$42^2+$K$42^2)</f>
        <v>22.022942582679544</v>
      </c>
      <c r="E194" s="10">
        <f>$G$42+1*$J$57</f>
        <v>317.33437500000002</v>
      </c>
      <c r="F194" s="5">
        <f>IF($E$194&lt;=0,0,IF(ABS($H$78)/$E$194&lt;=$E$18/6+0.000001,$E$18,MIN(3*($E$18/2-ABS($H$78)/$E$194),$E$18)))</f>
        <v>2.75</v>
      </c>
      <c r="G194" s="5">
        <f>IF($E$194&lt;=0,0,IF(ABS($I$78)/$E$194&lt;=$F$18/6+0.000001,$F$18,MIN(3*($F$18/2-ABS($I$78)/$E$194),$F$18)))</f>
        <v>2.75</v>
      </c>
      <c r="H194" s="3">
        <f>MAX($E$194,0)*TAN(RADIANS($J$7))+$K$7*$F$194*$G$194</f>
        <v>168.72968017790058</v>
      </c>
      <c r="I194" s="3">
        <f>$H$194/$D$194</f>
        <v>7.6615411198775023</v>
      </c>
      <c r="J194" s="3">
        <v>1.5</v>
      </c>
      <c r="K194" s="9" t="str">
        <f>IF($I$194&gt;=$J$194-0.00001,"OK","NON OK")</f>
        <v>OK</v>
      </c>
    </row>
    <row r="195" spans="2:11" ht="15.75" x14ac:dyDescent="0.25">
      <c r="B195" s="22" t="s">
        <v>90</v>
      </c>
      <c r="C195" s="23"/>
      <c r="D195" s="3">
        <f>SQRT($J$43^2+$K$43^2)</f>
        <v>95.01007104512658</v>
      </c>
      <c r="E195" s="10">
        <f>$G$43+1*$J$57</f>
        <v>379.97437500000001</v>
      </c>
      <c r="F195" s="5">
        <f>IF($E$195&lt;=0,0,IF(ABS($H$79)/$E$195&lt;=$E$18/6+0.000001,$E$18,MIN(3*($E$18/2-ABS($H$79)/$E$195),$E$18)))</f>
        <v>1.1500625453361168</v>
      </c>
      <c r="G195" s="5">
        <f>IF($E$195&lt;=0,0,IF(ABS($I$79)/$E$195&lt;=$F$18/6+0.000001,$F$18,MIN(3*($F$18/2-ABS($I$79)/$E$195),$F$18)))</f>
        <v>2.75</v>
      </c>
      <c r="H195" s="3">
        <f>MAX($E$195,0)*TAN(RADIANS($J$7))+$K$7*$F$195*$G$195</f>
        <v>202.03595897717562</v>
      </c>
      <c r="I195" s="3">
        <f>$H$195/$D$195</f>
        <v>2.1264688759280621</v>
      </c>
      <c r="J195" s="3">
        <v>1.25</v>
      </c>
      <c r="K195" s="9" t="str">
        <f>IF($I$195&gt;=$J$195-0.00001,"OK","NON OK")</f>
        <v>OK</v>
      </c>
    </row>
    <row r="196" spans="2:11" ht="15.75" x14ac:dyDescent="0.25">
      <c r="B196" s="22" t="s">
        <v>92</v>
      </c>
      <c r="C196" s="23"/>
      <c r="D196" s="3">
        <f>SQRT($J$44^2+$K$44^2)</f>
        <v>95.01007104512658</v>
      </c>
      <c r="E196" s="10">
        <f>$G$44+1*$J$57</f>
        <v>362.69437499999998</v>
      </c>
      <c r="F196" s="5">
        <f>IF($E$196&lt;=0,0,IF(ABS($H$80)/$E$196&lt;=$E$18/6+0.000001,$E$18,MIN(3*($E$18/2-ABS($H$80)/$E$196),$E$18)))</f>
        <v>1.0083263543169096</v>
      </c>
      <c r="G196" s="5">
        <f>IF($E$196&lt;=0,0,IF(ABS($I$80)/$E$196&lt;=$F$18/6+0.000001,$F$18,MIN(3*($F$18/2-ABS($I$80)/$E$196),$F$18)))</f>
        <v>2.75</v>
      </c>
      <c r="H196" s="3">
        <f>MAX($E$196,0)*TAN(RADIANS($J$7))+$K$7*$F$196*$G$196</f>
        <v>192.84801999806524</v>
      </c>
      <c r="I196" s="3">
        <f>$H$196/$D$196</f>
        <v>2.0297639805623229</v>
      </c>
      <c r="J196" s="3">
        <v>1.25</v>
      </c>
      <c r="K196" s="9" t="str">
        <f>IF($I$196&gt;=$J$196-0.00001,"OK","NON OK")</f>
        <v>OK</v>
      </c>
    </row>
    <row r="197" spans="2:11" ht="15.75" x14ac:dyDescent="0.25">
      <c r="B197" s="22" t="s">
        <v>93</v>
      </c>
      <c r="C197" s="23"/>
      <c r="D197" s="3">
        <f>SQRT($J$45^2+$K$45^2)</f>
        <v>74.898555393278443</v>
      </c>
      <c r="E197" s="10">
        <f>$G$45+1*$J$57</f>
        <v>374.93437499999999</v>
      </c>
      <c r="F197" s="5">
        <f>IF($E$197&lt;=0,0,IF(ABS($H$81)/$E$197&lt;=$E$18/6+0.000001,$E$18,MIN(3*($E$18/2-ABS($H$81)/$E$197),$E$18)))</f>
        <v>2.75</v>
      </c>
      <c r="G197" s="5">
        <f>IF($E$197&lt;=0,0,IF(ABS($I$81)/$E$197&lt;=$F$18/6+0.000001,$F$18,MIN(3*($F$18/2-ABS($I$81)/$E$197),$F$18)))</f>
        <v>2.75</v>
      </c>
      <c r="H197" s="3">
        <f>MAX($E$197,0)*TAN(RADIANS($J$7))+$K$7*$F$197*$G$197</f>
        <v>199.35614344160174</v>
      </c>
      <c r="I197" s="3">
        <f>$H$197/$D$197</f>
        <v>2.6616820897922473</v>
      </c>
      <c r="J197" s="3">
        <v>1.25</v>
      </c>
      <c r="K197" s="9" t="str">
        <f>IF($I$197&gt;=$J$197-0.00001,"OK","NON OK")</f>
        <v>OK</v>
      </c>
    </row>
    <row r="198" spans="2:11" ht="15.75" x14ac:dyDescent="0.25">
      <c r="B198" s="22" t="s">
        <v>94</v>
      </c>
      <c r="C198" s="23"/>
      <c r="D198" s="3">
        <f>SQRT($J$46^2+$K$46^2)</f>
        <v>74.898555393278443</v>
      </c>
      <c r="E198" s="10">
        <f>$G$46+1*$J$57</f>
        <v>317.33437500000002</v>
      </c>
      <c r="F198" s="5">
        <f>IF($E$198&lt;=0,0,IF(ABS($H$82)/$E$198&lt;=$E$18/6+0.000001,$E$18,MIN(3*($E$18/2-ABS($H$82)/$E$198),$E$18)))</f>
        <v>2.75</v>
      </c>
      <c r="G198" s="5">
        <f>IF($E$198&lt;=0,0,IF(ABS($I$82)/$E$198&lt;=$F$18/6+0.000001,$F$18,MIN(3*($F$18/2-ABS($I$82)/$E$198),$F$18)))</f>
        <v>2.75</v>
      </c>
      <c r="H198" s="3">
        <f>MAX($E$198,0)*TAN(RADIANS($J$7))+$K$7*$F$198*$G$198</f>
        <v>168.72968017790058</v>
      </c>
      <c r="I198" s="3">
        <f>$H$198/$D$198</f>
        <v>2.2527761622628404</v>
      </c>
      <c r="J198" s="3">
        <v>1.25</v>
      </c>
      <c r="K198" s="9" t="str">
        <f>IF($I$198&gt;=$J$198-0.00001,"OK","NON OK")</f>
        <v>OK</v>
      </c>
    </row>
    <row r="199" spans="2:11" ht="15.75" x14ac:dyDescent="0.25">
      <c r="B199" s="22" t="s">
        <v>95</v>
      </c>
      <c r="C199" s="23"/>
      <c r="D199" s="3">
        <f>SQRT($J$47^2+$K$47^2)</f>
        <v>68.228099783007295</v>
      </c>
      <c r="E199" s="10">
        <f>$G$47+1*$J$57</f>
        <v>290.69437499999998</v>
      </c>
      <c r="F199" s="5">
        <f>IF($E$199&lt;=0,0,IF(ABS($H$83)/$E$199&lt;=$E$18/6+0.000001,$E$18,MIN(3*($E$18/2-ABS($H$83)/$E$199),$E$18)))</f>
        <v>1.1478526093771162</v>
      </c>
      <c r="G199" s="5">
        <f>IF($E$199&lt;=0,0,IF(ABS($I$83)/$E$199&lt;=$F$18/6+0.000001,$F$18,MIN(3*($F$18/2-ABS($I$83)/$E$199),$F$18)))</f>
        <v>2.75</v>
      </c>
      <c r="H199" s="3">
        <f>MAX($E$199,0)*TAN(RADIANS($J$7))+$K$7*$F$199*$G$199</f>
        <v>154.56494091843877</v>
      </c>
      <c r="I199" s="3">
        <f>$H$199/$D$199</f>
        <v>2.2654147105080931</v>
      </c>
      <c r="J199" s="3">
        <v>1.25</v>
      </c>
      <c r="K199" s="9" t="str">
        <f>IF($I$199&gt;=$J$199-0.00001,"OK","NON OK")</f>
        <v>OK</v>
      </c>
    </row>
    <row r="200" spans="2:11" ht="15.75" x14ac:dyDescent="0.25">
      <c r="B200" s="22" t="s">
        <v>96</v>
      </c>
      <c r="C200" s="23"/>
      <c r="D200" s="3">
        <f>SQRT($J$48^2+$K$48^2)</f>
        <v>68.228099783007295</v>
      </c>
      <c r="E200" s="10">
        <f>$G$48+1*$J$57</f>
        <v>307.97437500000001</v>
      </c>
      <c r="F200" s="5">
        <f>IF($E$200&lt;=0,0,IF(ABS($H$84)/$E$200&lt;=$E$18/6+0.000001,$E$18,MIN(3*($E$18/2-ABS($H$84)/$E$200),$E$18)))</f>
        <v>1.3148960749575349</v>
      </c>
      <c r="G200" s="5">
        <f>IF($E$200&lt;=0,0,IF(ABS($I$84)/$E$200&lt;=$F$18/6+0.000001,$F$18,MIN(3*($F$18/2-ABS($I$84)/$E$200),$F$18)))</f>
        <v>2.75</v>
      </c>
      <c r="H200" s="3">
        <f>MAX($E$200,0)*TAN(RADIANS($J$7))+$K$7*$F$200*$G$200</f>
        <v>163.75287989754915</v>
      </c>
      <c r="I200" s="3">
        <f>$H$200/$D$200</f>
        <v>2.4000797386758381</v>
      </c>
      <c r="J200" s="3">
        <v>1.25</v>
      </c>
      <c r="K200" s="9" t="str">
        <f>IF($I$200&gt;=$J$200-0.00001,"OK","NON OK")</f>
        <v>OK</v>
      </c>
    </row>
    <row r="201" spans="2:11" ht="15.75" x14ac:dyDescent="0.25">
      <c r="B201" s="22" t="s">
        <v>97</v>
      </c>
      <c r="C201" s="23"/>
      <c r="D201" s="3">
        <f>SQRT($J$49^2+$K$49^2)</f>
        <v>65.560976197735187</v>
      </c>
      <c r="E201" s="10">
        <f>$G$49+1*$J$57</f>
        <v>295.734375</v>
      </c>
      <c r="F201" s="5">
        <f>IF($E$201&lt;=0,0,IF(ABS($H$85)/$E$201&lt;=$E$18/6+0.000001,$E$18,MIN(3*($E$18/2-ABS($H$85)/$E$201),$E$18)))</f>
        <v>2.75</v>
      </c>
      <c r="G201" s="5">
        <f>IF($E$201&lt;=0,0,IF(ABS($I$85)/$E$201&lt;=$F$18/6+0.000001,$F$18,MIN(3*($F$18/2-ABS($I$85)/$E$201),$F$18)))</f>
        <v>2.75</v>
      </c>
      <c r="H201" s="3">
        <f>MAX($E$201,0)*TAN(RADIANS($J$7))+$K$7*$F$201*$G$201</f>
        <v>157.24475645401265</v>
      </c>
      <c r="I201" s="3">
        <f>$H$201/$D$201</f>
        <v>2.398450504759944</v>
      </c>
      <c r="J201" s="3">
        <v>1.25</v>
      </c>
      <c r="K201" s="9" t="str">
        <f>IF($I$201&gt;=$J$201-0.00001,"OK","NON OK")</f>
        <v>OK</v>
      </c>
    </row>
    <row r="202" spans="2:11" ht="15.75" x14ac:dyDescent="0.25">
      <c r="B202" s="22" t="s">
        <v>98</v>
      </c>
      <c r="C202" s="23"/>
      <c r="D202" s="3">
        <f>SQRT($J$50^2+$K$50^2)</f>
        <v>65.560976197735187</v>
      </c>
      <c r="E202" s="10">
        <f>$G$50+1*$J$57</f>
        <v>353.33437500000002</v>
      </c>
      <c r="F202" s="5">
        <f>IF($E$202&lt;=0,0,IF(ABS($H$86)/$E$202&lt;=$E$18/6+0.000001,$E$18,MIN(3*($E$18/2-ABS($H$86)/$E$202),$E$18)))</f>
        <v>2.75</v>
      </c>
      <c r="G202" s="5">
        <f>IF($E$202&lt;=0,0,IF(ABS($I$86)/$E$202&lt;=$F$18/6+0.000001,$F$18,MIN(3*($F$18/2-ABS($I$86)/$E$202),$F$18)))</f>
        <v>2.75</v>
      </c>
      <c r="H202" s="3">
        <f>MAX($E$202,0)*TAN(RADIANS($J$7))+$K$7*$F$202*$G$202</f>
        <v>187.87121971771381</v>
      </c>
      <c r="I202" s="3">
        <f>$H$202/$D$202</f>
        <v>2.8655952155301168</v>
      </c>
      <c r="J202" s="3">
        <v>1.25</v>
      </c>
      <c r="K202" s="9" t="str">
        <f>IF($I$202&gt;=$J$202-0.00001,"OK","NON OK")</f>
        <v>OK</v>
      </c>
    </row>
    <row r="204" spans="2:11" ht="20.100000000000001" customHeight="1" x14ac:dyDescent="0.25">
      <c r="B204" s="19" t="s">
        <v>159</v>
      </c>
      <c r="C204" s="18"/>
      <c r="D204" s="18"/>
      <c r="E204" s="18"/>
      <c r="F204" s="18"/>
      <c r="G204" s="18"/>
      <c r="H204" s="18"/>
      <c r="I204" s="18"/>
      <c r="J204" s="18"/>
      <c r="K204" s="18"/>
    </row>
    <row r="205" spans="2:11" ht="15" customHeight="1" x14ac:dyDescent="0.25">
      <c r="B205" s="24" t="s">
        <v>160</v>
      </c>
      <c r="C205" s="25"/>
      <c r="D205" s="25"/>
      <c r="E205" s="25"/>
      <c r="F205" s="25"/>
      <c r="G205" s="25"/>
      <c r="H205" s="25"/>
      <c r="I205" s="25"/>
      <c r="J205" s="25"/>
      <c r="K205" s="25"/>
    </row>
    <row r="206" spans="2:11" ht="20.100000000000001" customHeight="1" x14ac:dyDescent="0.25">
      <c r="B206" s="17" t="s">
        <v>63</v>
      </c>
      <c r="C206" s="18"/>
      <c r="D206" s="18"/>
      <c r="E206" s="17" t="s">
        <v>161</v>
      </c>
      <c r="F206" s="18"/>
      <c r="G206" s="17" t="s">
        <v>162</v>
      </c>
      <c r="H206" s="18"/>
      <c r="I206" s="1" t="s">
        <v>155</v>
      </c>
      <c r="J206" s="1" t="s">
        <v>145</v>
      </c>
      <c r="K206" s="1" t="s">
        <v>49</v>
      </c>
    </row>
    <row r="207" spans="2:11" ht="18" customHeight="1" x14ac:dyDescent="0.25">
      <c r="B207" s="33"/>
      <c r="C207" s="34"/>
      <c r="D207" s="34"/>
      <c r="E207" s="33" t="s">
        <v>163</v>
      </c>
      <c r="F207" s="34"/>
      <c r="G207" s="33" t="s">
        <v>164</v>
      </c>
      <c r="H207" s="34"/>
      <c r="I207" s="2" t="s">
        <v>165</v>
      </c>
      <c r="J207" s="2"/>
      <c r="K207" s="2"/>
    </row>
    <row r="208" spans="2:11" ht="15.75" x14ac:dyDescent="0.25">
      <c r="B208" s="22" t="s">
        <v>75</v>
      </c>
      <c r="C208" s="23"/>
      <c r="D208" s="23"/>
      <c r="E208" s="20">
        <f>-$G$29</f>
        <v>27.75</v>
      </c>
      <c r="F208" s="21"/>
      <c r="G208" s="15">
        <f>1.35*$J$57</f>
        <v>325.80140625000001</v>
      </c>
      <c r="H208" s="16"/>
      <c r="I208" s="3">
        <f>$G$208/$E$208</f>
        <v>11.740591216216217</v>
      </c>
      <c r="J208" s="3">
        <v>1</v>
      </c>
      <c r="K208" s="9" t="str">
        <f>IF($I$208&gt;=$J$208-0.00001,"OK","NON OK")</f>
        <v>OK</v>
      </c>
    </row>
    <row r="209" spans="2:11" ht="15.75" x14ac:dyDescent="0.25">
      <c r="B209" s="22" t="s">
        <v>77</v>
      </c>
      <c r="C209" s="23"/>
      <c r="D209" s="23"/>
      <c r="E209" s="20">
        <f>-$G$31</f>
        <v>57.5</v>
      </c>
      <c r="F209" s="21"/>
      <c r="G209" s="15">
        <f>1*$J$57</f>
        <v>241.33437499999999</v>
      </c>
      <c r="H209" s="16"/>
      <c r="I209" s="3">
        <f>$G$209/$E$209</f>
        <v>4.1971195652173909</v>
      </c>
      <c r="J209" s="3">
        <v>1</v>
      </c>
      <c r="K209" s="9" t="str">
        <f>IF($I$209&gt;=$J$209-0.00001,"OK","NON OK")</f>
        <v>OK</v>
      </c>
    </row>
    <row r="210" spans="2:11" ht="15.75" x14ac:dyDescent="0.25">
      <c r="B210" s="22" t="s">
        <v>86</v>
      </c>
      <c r="C210" s="23"/>
      <c r="D210" s="23"/>
      <c r="E210" s="20">
        <f>-$G$39</f>
        <v>10</v>
      </c>
      <c r="F210" s="21"/>
      <c r="G210" s="15">
        <f>1*$J$57</f>
        <v>241.33437499999999</v>
      </c>
      <c r="H210" s="16"/>
      <c r="I210" s="3">
        <f>$G$210/$E$210</f>
        <v>24.133437499999999</v>
      </c>
      <c r="J210" s="3">
        <v>1.5</v>
      </c>
      <c r="K210" s="9" t="str">
        <f>IF($I$210&gt;=$J$210-0.00001,"OK","NON OK")</f>
        <v>OK</v>
      </c>
    </row>
    <row r="212" spans="2:11" ht="20.100000000000001" customHeight="1" x14ac:dyDescent="0.25">
      <c r="B212" s="19" t="s">
        <v>166</v>
      </c>
      <c r="C212" s="18"/>
      <c r="D212" s="18"/>
      <c r="E212" s="18"/>
      <c r="F212" s="18"/>
      <c r="G212" s="18"/>
      <c r="H212" s="18"/>
      <c r="I212" s="18"/>
      <c r="J212" s="18"/>
      <c r="K212" s="18"/>
    </row>
    <row r="213" spans="2:11" ht="20.100000000000001" customHeight="1" x14ac:dyDescent="0.25">
      <c r="B213" s="17" t="s">
        <v>63</v>
      </c>
      <c r="C213" s="18"/>
      <c r="D213" s="18"/>
      <c r="E213" s="1" t="s">
        <v>167</v>
      </c>
      <c r="F213" s="1" t="s">
        <v>168</v>
      </c>
      <c r="G213" s="1" t="s">
        <v>169</v>
      </c>
      <c r="H213" s="1" t="s">
        <v>170</v>
      </c>
      <c r="I213" s="1" t="s">
        <v>171</v>
      </c>
      <c r="J213" s="1" t="s">
        <v>131</v>
      </c>
      <c r="K213" s="1" t="s">
        <v>49</v>
      </c>
    </row>
    <row r="214" spans="2:11" ht="30" customHeight="1" x14ac:dyDescent="0.25">
      <c r="B214" s="33"/>
      <c r="C214" s="34"/>
      <c r="D214" s="34"/>
      <c r="E214" s="2" t="s">
        <v>172</v>
      </c>
      <c r="F214" s="2" t="s">
        <v>173</v>
      </c>
      <c r="G214" s="2" t="s">
        <v>174</v>
      </c>
      <c r="H214" s="2"/>
      <c r="I214" s="2" t="s">
        <v>175</v>
      </c>
      <c r="J214" s="2" t="s">
        <v>176</v>
      </c>
      <c r="K214" s="2"/>
    </row>
    <row r="215" spans="2:11" ht="15.75" x14ac:dyDescent="0.25">
      <c r="B215" s="22" t="s">
        <v>71</v>
      </c>
      <c r="C215" s="23"/>
      <c r="D215" s="23"/>
      <c r="E215" s="10">
        <f>$G$27+1.35*$J$55</f>
        <v>168.609375</v>
      </c>
      <c r="F215" s="3">
        <f>IF(AND($B$13+2*$G$18&gt;=$E$18,$C$13+2*$G$18&gt;=$F$18),0,$E$215*(1-MIN($B$13+2*$G$18,$E$18)*MIN($C$13+2*$G$18,$F$18)/($E$18*$F$18)))</f>
        <v>96.372102272727261</v>
      </c>
      <c r="G215" s="5">
        <f t="shared" ref="G215:G230" si="6">2*($B$13+$C$13+2*$G$18)</f>
        <v>4.5999999999999996</v>
      </c>
      <c r="H215" s="3">
        <f t="shared" ref="H215:H222" si="7">$I$13</f>
        <v>1.5</v>
      </c>
      <c r="I215" s="3">
        <f>0.045*$G$215*$G$18*$C$7/$H$215*1000</f>
        <v>2242.5</v>
      </c>
      <c r="J215" s="12">
        <f>$F$215/$I$215</f>
        <v>4.2975296442687744E-2</v>
      </c>
      <c r="K215" s="9" t="str">
        <f>IF($F$215&lt;=$I$215+0.00001,"OK","NON OK")</f>
        <v>OK</v>
      </c>
    </row>
    <row r="216" spans="2:11" ht="15.75" x14ac:dyDescent="0.25">
      <c r="B216" s="22" t="s">
        <v>74</v>
      </c>
      <c r="C216" s="23"/>
      <c r="D216" s="23"/>
      <c r="E216" s="10">
        <f>$G$28+1.35*$J$55</f>
        <v>183.609375</v>
      </c>
      <c r="F216" s="3">
        <f>IF(AND($B$13+2*$G$18&gt;=$E$18,$C$13+2*$G$18&gt;=$F$18),0,$E$216*(1-MIN($B$13+2*$G$18,$E$18)*MIN($C$13+2*$G$18,$F$18)/($E$18*$F$18)))</f>
        <v>104.94565599173552</v>
      </c>
      <c r="G216" s="5">
        <f t="shared" si="6"/>
        <v>4.5999999999999996</v>
      </c>
      <c r="H216" s="3">
        <f t="shared" si="7"/>
        <v>1.5</v>
      </c>
      <c r="I216" s="3">
        <f>0.045*$G$216*$G$18*$C$7/$H$216*1000</f>
        <v>2242.5</v>
      </c>
      <c r="J216" s="12">
        <f>$F$216/$I$216</f>
        <v>4.6798508803449511E-2</v>
      </c>
      <c r="K216" s="9" t="str">
        <f>IF($F$216&lt;=$I$216+0.00001,"OK","NON OK")</f>
        <v>OK</v>
      </c>
    </row>
    <row r="217" spans="2:11" ht="15.75" x14ac:dyDescent="0.25">
      <c r="B217" s="22" t="s">
        <v>76</v>
      </c>
      <c r="C217" s="23"/>
      <c r="D217" s="23"/>
      <c r="E217" s="10">
        <f>$G$30+1.35*$J$55</f>
        <v>63.609375</v>
      </c>
      <c r="F217" s="3">
        <f>IF(AND($B$13+2*$G$18&gt;=$E$18,$C$13+2*$G$18&gt;=$F$18),0,$E$217*(1-MIN($B$13+2*$G$18,$E$18)*MIN($C$13+2*$G$18,$F$18)/($E$18*$F$18)))</f>
        <v>36.357226239669416</v>
      </c>
      <c r="G217" s="5">
        <f t="shared" si="6"/>
        <v>4.5999999999999996</v>
      </c>
      <c r="H217" s="3">
        <f t="shared" si="7"/>
        <v>1.5</v>
      </c>
      <c r="I217" s="3">
        <f>0.045*$G$217*$G$18*$C$7/$H$217*1000</f>
        <v>2242.5</v>
      </c>
      <c r="J217" s="12">
        <f>$F$217/$I$217</f>
        <v>1.621280991735537E-2</v>
      </c>
      <c r="K217" s="9" t="str">
        <f>IF($F$217&lt;=$I$217+0.00001,"OK","NON OK")</f>
        <v>OK</v>
      </c>
    </row>
    <row r="218" spans="2:11" ht="15.75" x14ac:dyDescent="0.25">
      <c r="B218" s="22" t="s">
        <v>78</v>
      </c>
      <c r="C218" s="23"/>
      <c r="D218" s="23"/>
      <c r="E218" s="10">
        <f>$G$32+1*$J$55</f>
        <v>31.5625</v>
      </c>
      <c r="F218" s="3">
        <f>IF(AND($B$13+2*$G$18&gt;=$E$18,$C$13+2*$G$18&gt;=$F$18),0,$E$218*(1-MIN($B$13+2*$G$18,$E$18)*MIN($C$13+2*$G$18,$F$18)/($E$18*$F$18)))</f>
        <v>18.040185950413221</v>
      </c>
      <c r="G218" s="5">
        <f t="shared" si="6"/>
        <v>4.5999999999999996</v>
      </c>
      <c r="H218" s="3">
        <f t="shared" si="7"/>
        <v>1.5</v>
      </c>
      <c r="I218" s="3">
        <f>0.045*$G$218*$G$18*$C$7/$H$218*1000</f>
        <v>2242.5</v>
      </c>
      <c r="J218" s="12">
        <f>$F$218/$I$218</f>
        <v>8.0446760091028857E-3</v>
      </c>
      <c r="K218" s="9" t="str">
        <f>IF($F$218&lt;=$I$218+0.00001,"OK","NON OK")</f>
        <v>OK</v>
      </c>
    </row>
    <row r="219" spans="2:11" ht="15.75" x14ac:dyDescent="0.25">
      <c r="B219" s="22" t="s">
        <v>79</v>
      </c>
      <c r="C219" s="23"/>
      <c r="D219" s="23"/>
      <c r="E219" s="10">
        <f>$G$33+1.35*$J$55</f>
        <v>35.859375</v>
      </c>
      <c r="F219" s="3">
        <f>IF(AND($B$13+2*$G$18&gt;=$E$18,$C$13+2*$G$18&gt;=$F$18),0,$E$219*(1-MIN($B$13+2*$G$18,$E$18)*MIN($C$13+2*$G$18,$F$18)/($E$18*$F$18)))</f>
        <v>20.496151859504131</v>
      </c>
      <c r="G219" s="5">
        <f t="shared" si="6"/>
        <v>4.5999999999999996</v>
      </c>
      <c r="H219" s="3">
        <f t="shared" si="7"/>
        <v>1.5</v>
      </c>
      <c r="I219" s="3">
        <f>0.045*$G$219*$G$18*$C$7/$H$219*1000</f>
        <v>2242.5</v>
      </c>
      <c r="J219" s="12">
        <f>$F$219/$I$219</f>
        <v>9.1398670499461005E-3</v>
      </c>
      <c r="K219" s="9" t="str">
        <f>IF($F$219&lt;=$I$219+0.00001,"OK","NON OK")</f>
        <v>OK</v>
      </c>
    </row>
    <row r="220" spans="2:11" ht="15.75" x14ac:dyDescent="0.25">
      <c r="B220" s="22" t="s">
        <v>80</v>
      </c>
      <c r="C220" s="23"/>
      <c r="D220" s="23"/>
      <c r="E220" s="10">
        <f>$G$34+1.35*$J$55</f>
        <v>110.109375</v>
      </c>
      <c r="F220" s="3">
        <f>IF(AND($B$13+2*$G$18&gt;=$E$18,$C$13+2*$G$18&gt;=$F$18),0,$E$220*(1-MIN($B$13+2*$G$18,$E$18)*MIN($C$13+2*$G$18,$F$18)/($E$18*$F$18)))</f>
        <v>62.935242768595032</v>
      </c>
      <c r="G220" s="5">
        <f t="shared" si="6"/>
        <v>4.5999999999999996</v>
      </c>
      <c r="H220" s="3">
        <f t="shared" si="7"/>
        <v>1.5</v>
      </c>
      <c r="I220" s="3">
        <f>0.045*$G$220*$G$18*$C$7/$H$220*1000</f>
        <v>2242.5</v>
      </c>
      <c r="J220" s="12">
        <f>$F$220/$I$220</f>
        <v>2.8064768235716849E-2</v>
      </c>
      <c r="K220" s="9" t="str">
        <f>IF($F$220&lt;=$I$220+0.00001,"OK","NON OK")</f>
        <v>OK</v>
      </c>
    </row>
    <row r="221" spans="2:11" ht="15.75" x14ac:dyDescent="0.25">
      <c r="B221" s="22" t="s">
        <v>81</v>
      </c>
      <c r="C221" s="23"/>
      <c r="D221" s="23"/>
      <c r="E221" s="10">
        <f>$G$35+1.35*$J$55</f>
        <v>49.359375</v>
      </c>
      <c r="F221" s="3">
        <f>IF(AND($B$13+2*$G$18&gt;=$E$18,$C$13+2*$G$18&gt;=$F$18),0,$E$221*(1-MIN($B$13+2*$G$18,$E$18)*MIN($C$13+2*$G$18,$F$18)/($E$18*$F$18)))</f>
        <v>28.212350206611568</v>
      </c>
      <c r="G221" s="5">
        <f t="shared" si="6"/>
        <v>4.5999999999999996</v>
      </c>
      <c r="H221" s="3">
        <f t="shared" si="7"/>
        <v>1.5</v>
      </c>
      <c r="I221" s="3">
        <f>0.045*$G$221*$G$18*$C$7/$H$221*1000</f>
        <v>2242.5</v>
      </c>
      <c r="J221" s="12">
        <f>$F$221/$I$221</f>
        <v>1.2580758174631692E-2</v>
      </c>
      <c r="K221" s="9" t="str">
        <f>IF($F$221&lt;=$I$221+0.00001,"OK","NON OK")</f>
        <v>OK</v>
      </c>
    </row>
    <row r="222" spans="2:11" ht="15.75" x14ac:dyDescent="0.25">
      <c r="B222" s="22" t="s">
        <v>82</v>
      </c>
      <c r="C222" s="23"/>
      <c r="D222" s="23"/>
      <c r="E222" s="10">
        <f>$G$36+1.35*$J$55</f>
        <v>123.609375</v>
      </c>
      <c r="F222" s="3">
        <f>IF(AND($B$13+2*$G$18&gt;=$E$18,$C$13+2*$G$18&gt;=$F$18),0,$E$222*(1-MIN($B$13+2*$G$18,$E$18)*MIN($C$13+2*$G$18,$F$18)/($E$18*$F$18)))</f>
        <v>70.651441115702468</v>
      </c>
      <c r="G222" s="5">
        <f t="shared" si="6"/>
        <v>4.5999999999999996</v>
      </c>
      <c r="H222" s="3">
        <f t="shared" si="7"/>
        <v>1.5</v>
      </c>
      <c r="I222" s="3">
        <f>0.045*$G$222*$G$18*$C$7/$H$222*1000</f>
        <v>2242.5</v>
      </c>
      <c r="J222" s="12">
        <f>$F$222/$I$222</f>
        <v>3.1505659360402435E-2</v>
      </c>
      <c r="K222" s="9" t="str">
        <f>IF($F$222&lt;=$I$222+0.00001,"OK","NON OK")</f>
        <v>OK</v>
      </c>
    </row>
    <row r="223" spans="2:11" ht="15.75" x14ac:dyDescent="0.25">
      <c r="B223" s="22" t="s">
        <v>90</v>
      </c>
      <c r="C223" s="23"/>
      <c r="D223" s="23"/>
      <c r="E223" s="10">
        <f>$G$43+1*$J$55</f>
        <v>145.20249999999999</v>
      </c>
      <c r="F223" s="3">
        <f>IF(AND($B$13+2*$G$18&gt;=$E$18,$C$13+2*$G$18&gt;=$F$18),0,$E$223*(1-MIN($B$13+2*$G$18,$E$18)*MIN($C$13+2*$G$18,$F$18)/($E$18*$F$18)))</f>
        <v>82.99342892561981</v>
      </c>
      <c r="G223" s="5">
        <f t="shared" si="6"/>
        <v>4.5999999999999996</v>
      </c>
      <c r="H223" s="3">
        <f t="shared" ref="H223:H230" si="8">$J$13</f>
        <v>1.2</v>
      </c>
      <c r="I223" s="3">
        <f>0.045*$G$223*$G$18*$C$7/$H$223*1000</f>
        <v>2803.125</v>
      </c>
      <c r="J223" s="12">
        <f>$F$223/$I$223</f>
        <v>2.9607466283387222E-2</v>
      </c>
      <c r="K223" s="9" t="str">
        <f>IF($F$223&lt;=$I$223+0.00001,"OK","NON OK")</f>
        <v>OK</v>
      </c>
    </row>
    <row r="224" spans="2:11" ht="15.75" x14ac:dyDescent="0.25">
      <c r="B224" s="22" t="s">
        <v>92</v>
      </c>
      <c r="C224" s="23"/>
      <c r="D224" s="23"/>
      <c r="E224" s="10">
        <f>$G$44+1*$J$55</f>
        <v>127.9225</v>
      </c>
      <c r="F224" s="3">
        <f>IF(AND($B$13+2*$G$18&gt;=$E$18,$C$13+2*$G$18&gt;=$F$18),0,$E$224*(1-MIN($B$13+2*$G$18,$E$18)*MIN($C$13+2*$G$18,$F$18)/($E$18*$F$18)))</f>
        <v>73.116695041322302</v>
      </c>
      <c r="G224" s="5">
        <f t="shared" si="6"/>
        <v>4.5999999999999996</v>
      </c>
      <c r="H224" s="3">
        <f t="shared" si="8"/>
        <v>1.2</v>
      </c>
      <c r="I224" s="3">
        <f>0.045*$G$224*$G$18*$C$7/$H$224*1000</f>
        <v>2803.125</v>
      </c>
      <c r="J224" s="12">
        <f>$F$224/$I$224</f>
        <v>2.6083993771709182E-2</v>
      </c>
      <c r="K224" s="9" t="str">
        <f>IF($F$224&lt;=$I$224+0.00001,"OK","NON OK")</f>
        <v>OK</v>
      </c>
    </row>
    <row r="225" spans="2:11" ht="15.75" x14ac:dyDescent="0.25">
      <c r="B225" s="22" t="s">
        <v>93</v>
      </c>
      <c r="C225" s="23"/>
      <c r="D225" s="23"/>
      <c r="E225" s="10">
        <f>$G$45+1*$J$55</f>
        <v>140.16249999999999</v>
      </c>
      <c r="F225" s="3">
        <f>IF(AND($B$13+2*$G$18&gt;=$E$18,$C$13+2*$G$18&gt;=$F$18),0,$E$225*(1-MIN($B$13+2*$G$18,$E$18)*MIN($C$13+2*$G$18,$F$18)/($E$18*$F$18)))</f>
        <v>80.112714876033039</v>
      </c>
      <c r="G225" s="5">
        <f t="shared" si="6"/>
        <v>4.5999999999999996</v>
      </c>
      <c r="H225" s="3">
        <f t="shared" si="8"/>
        <v>1.2</v>
      </c>
      <c r="I225" s="3">
        <f>0.045*$G$225*$G$18*$C$7/$H$225*1000</f>
        <v>2803.125</v>
      </c>
      <c r="J225" s="12">
        <f>$F$225/$I$225</f>
        <v>2.8579786800814463E-2</v>
      </c>
      <c r="K225" s="9" t="str">
        <f>IF($F$225&lt;=$I$225+0.00001,"OK","NON OK")</f>
        <v>OK</v>
      </c>
    </row>
    <row r="226" spans="2:11" ht="15.75" x14ac:dyDescent="0.25">
      <c r="B226" s="22" t="s">
        <v>94</v>
      </c>
      <c r="C226" s="23"/>
      <c r="D226" s="23"/>
      <c r="E226" s="10">
        <f>$G$46+1*$J$55</f>
        <v>82.5625</v>
      </c>
      <c r="F226" s="3">
        <f>IF(AND($B$13+2*$G$18&gt;=$E$18,$C$13+2*$G$18&gt;=$F$18),0,$E$226*(1-MIN($B$13+2*$G$18,$E$18)*MIN($C$13+2*$G$18,$F$18)/($E$18*$F$18)))</f>
        <v>47.190268595041317</v>
      </c>
      <c r="G226" s="5">
        <f t="shared" si="6"/>
        <v>4.5999999999999996</v>
      </c>
      <c r="H226" s="3">
        <f t="shared" si="8"/>
        <v>1.2</v>
      </c>
      <c r="I226" s="3">
        <f>0.045*$G$226*$G$18*$C$7/$H$226*1000</f>
        <v>2803.125</v>
      </c>
      <c r="J226" s="12">
        <f>$F$226/$I$226</f>
        <v>1.6834878428554315E-2</v>
      </c>
      <c r="K226" s="9" t="str">
        <f>IF($F$226&lt;=$I$226+0.00001,"OK","NON OK")</f>
        <v>OK</v>
      </c>
    </row>
    <row r="227" spans="2:11" ht="15.75" x14ac:dyDescent="0.25">
      <c r="B227" s="22" t="s">
        <v>95</v>
      </c>
      <c r="C227" s="23"/>
      <c r="D227" s="23"/>
      <c r="E227" s="10">
        <f>$G$47+1*$J$55</f>
        <v>55.922499999999999</v>
      </c>
      <c r="F227" s="3">
        <f>IF(AND($B$13+2*$G$18&gt;=$E$18,$C$13+2*$G$18&gt;=$F$18),0,$E$227*(1-MIN($B$13+2*$G$18,$E$18)*MIN($C$13+2*$G$18,$F$18)/($E$18*$F$18)))</f>
        <v>31.96363719008264</v>
      </c>
      <c r="G227" s="5">
        <f t="shared" si="6"/>
        <v>4.5999999999999996</v>
      </c>
      <c r="H227" s="3">
        <f t="shared" si="8"/>
        <v>1.2</v>
      </c>
      <c r="I227" s="3">
        <f>0.045*$G$227*$G$18*$C$7/$H$227*1000</f>
        <v>2803.125</v>
      </c>
      <c r="J227" s="12">
        <f>$F$227/$I$227</f>
        <v>1.1402858306383996E-2</v>
      </c>
      <c r="K227" s="9" t="str">
        <f>IF($F$227&lt;=$I$227+0.00001,"OK","NON OK")</f>
        <v>OK</v>
      </c>
    </row>
    <row r="228" spans="2:11" ht="15.75" x14ac:dyDescent="0.25">
      <c r="B228" s="22" t="s">
        <v>96</v>
      </c>
      <c r="C228" s="23"/>
      <c r="D228" s="23"/>
      <c r="E228" s="10">
        <f>$G$48+1*$J$55</f>
        <v>73.202500000000001</v>
      </c>
      <c r="F228" s="3">
        <f>IF(AND($B$13+2*$G$18&gt;=$E$18,$C$13+2*$G$18&gt;=$F$18),0,$E$228*(1-MIN($B$13+2*$G$18,$E$18)*MIN($C$13+2*$G$18,$F$18)/($E$18*$F$18)))</f>
        <v>41.840371074380158</v>
      </c>
      <c r="G228" s="5">
        <f t="shared" si="6"/>
        <v>4.5999999999999996</v>
      </c>
      <c r="H228" s="3">
        <f t="shared" si="8"/>
        <v>1.2</v>
      </c>
      <c r="I228" s="3">
        <f>0.045*$G$228*$G$18*$C$7/$H$228*1000</f>
        <v>2803.125</v>
      </c>
      <c r="J228" s="12">
        <f>$F$228/$I$228</f>
        <v>1.4926330818062042E-2</v>
      </c>
      <c r="K228" s="9" t="str">
        <f>IF($F$228&lt;=$I$228+0.00001,"OK","NON OK")</f>
        <v>OK</v>
      </c>
    </row>
    <row r="229" spans="2:11" ht="15.75" x14ac:dyDescent="0.25">
      <c r="B229" s="22" t="s">
        <v>97</v>
      </c>
      <c r="C229" s="23"/>
      <c r="D229" s="23"/>
      <c r="E229" s="10">
        <f>$G$49+1*$J$55</f>
        <v>60.962499999999999</v>
      </c>
      <c r="F229" s="3">
        <f>IF(AND($B$13+2*$G$18&gt;=$E$18,$C$13+2*$G$18&gt;=$F$18),0,$E$229*(1-MIN($B$13+2*$G$18,$E$18)*MIN($C$13+2*$G$18,$F$18)/($E$18*$F$18)))</f>
        <v>34.844351239669415</v>
      </c>
      <c r="G229" s="5">
        <f t="shared" si="6"/>
        <v>4.5999999999999996</v>
      </c>
      <c r="H229" s="3">
        <f t="shared" si="8"/>
        <v>1.2</v>
      </c>
      <c r="I229" s="3">
        <f>0.045*$G$229*$G$18*$C$7/$H$229*1000</f>
        <v>2803.125</v>
      </c>
      <c r="J229" s="12">
        <f>$F$229/$I$229</f>
        <v>1.2430537788956759E-2</v>
      </c>
      <c r="K229" s="9" t="str">
        <f>IF($F$229&lt;=$I$229+0.00001,"OK","NON OK")</f>
        <v>OK</v>
      </c>
    </row>
    <row r="230" spans="2:11" ht="15.75" x14ac:dyDescent="0.25">
      <c r="B230" s="22" t="s">
        <v>98</v>
      </c>
      <c r="C230" s="23"/>
      <c r="D230" s="23"/>
      <c r="E230" s="10">
        <f>$G$50+1*$J$55</f>
        <v>118.5625</v>
      </c>
      <c r="F230" s="3">
        <f>IF(AND($B$13+2*$G$18&gt;=$E$18,$C$13+2*$G$18&gt;=$F$18),0,$E$230*(1-MIN($B$13+2*$G$18,$E$18)*MIN($C$13+2*$G$18,$F$18)/($E$18*$F$18)))</f>
        <v>67.766797520661143</v>
      </c>
      <c r="G230" s="5">
        <f t="shared" si="6"/>
        <v>4.5999999999999996</v>
      </c>
      <c r="H230" s="3">
        <f t="shared" si="8"/>
        <v>1.2</v>
      </c>
      <c r="I230" s="3">
        <f>0.045*$G$230*$G$18*$C$7/$H$230*1000</f>
        <v>2803.125</v>
      </c>
      <c r="J230" s="12">
        <f>$F$230/$I$230</f>
        <v>2.4175446161216908E-2</v>
      </c>
      <c r="K230" s="9" t="str">
        <f>IF($F$230&lt;=$I$230+0.00001,"OK","NON OK")</f>
        <v>OK</v>
      </c>
    </row>
    <row r="232" spans="2:11" ht="20.100000000000001" customHeight="1" x14ac:dyDescent="0.25">
      <c r="B232" s="19" t="s">
        <v>177</v>
      </c>
      <c r="C232" s="18"/>
      <c r="D232" s="18"/>
      <c r="E232" s="18"/>
      <c r="F232" s="18"/>
      <c r="G232" s="18"/>
      <c r="H232" s="18"/>
      <c r="I232" s="18"/>
      <c r="J232" s="18"/>
      <c r="K232" s="18"/>
    </row>
    <row r="233" spans="2:11" ht="45" customHeight="1" x14ac:dyDescent="0.25">
      <c r="B233" s="24" t="s">
        <v>178</v>
      </c>
      <c r="C233" s="25"/>
      <c r="D233" s="25"/>
      <c r="E233" s="25"/>
      <c r="F233" s="25"/>
      <c r="G233" s="25"/>
      <c r="H233" s="25"/>
      <c r="I233" s="25"/>
      <c r="J233" s="25"/>
      <c r="K233" s="25"/>
    </row>
    <row r="234" spans="2:11" ht="30" customHeight="1" x14ac:dyDescent="0.25">
      <c r="B234" s="1" t="s">
        <v>63</v>
      </c>
      <c r="C234" s="1" t="s">
        <v>167</v>
      </c>
      <c r="D234" s="1" t="s">
        <v>179</v>
      </c>
      <c r="E234" s="1" t="s">
        <v>180</v>
      </c>
      <c r="F234" s="1" t="s">
        <v>181</v>
      </c>
      <c r="G234" s="1" t="s">
        <v>182</v>
      </c>
      <c r="H234" s="1" t="s">
        <v>183</v>
      </c>
      <c r="I234" s="1" t="s">
        <v>184</v>
      </c>
      <c r="J234" s="1" t="s">
        <v>185</v>
      </c>
      <c r="K234" s="1" t="s">
        <v>186</v>
      </c>
    </row>
    <row r="235" spans="2:11" ht="30" customHeight="1" x14ac:dyDescent="0.25">
      <c r="B235" s="2"/>
      <c r="C235" s="2" t="s">
        <v>172</v>
      </c>
      <c r="D235" s="2" t="s">
        <v>187</v>
      </c>
      <c r="E235" s="2" t="s">
        <v>188</v>
      </c>
      <c r="F235" s="2" t="s">
        <v>189</v>
      </c>
      <c r="G235" s="2"/>
      <c r="H235" s="2"/>
      <c r="I235" s="2" t="s">
        <v>190</v>
      </c>
      <c r="J235" s="2" t="s">
        <v>191</v>
      </c>
      <c r="K235" s="2" t="s">
        <v>192</v>
      </c>
    </row>
    <row r="236" spans="2:11" x14ac:dyDescent="0.25">
      <c r="B236" s="7" t="s">
        <v>71</v>
      </c>
      <c r="C236" s="3">
        <f>$G$27+1.35*$J$55</f>
        <v>168.609375</v>
      </c>
      <c r="D236" s="5">
        <f>IF($C$236&gt;0,ABS($H$63)/$C$236,"—")</f>
        <v>0.47826522101751451</v>
      </c>
      <c r="E236" s="3" t="str">
        <f>IF($C$236&lt;=0,"—",IF($D$236&lt;=$E$18/6+0.000001,10*$C$236*(1+3*$D$236/$E$18)*($E$18-$B$13)/(8*$H$18*$E$10),"—"))</f>
        <v>—</v>
      </c>
      <c r="F236" s="5">
        <f>IF($F$63&lt;=0,0,IF(ABS($H$63)/$F$63&lt;=$E$18/6+0.000001,$E$18,3*($E$18/2-ABS($H$63)/$F$63)))</f>
        <v>2.75</v>
      </c>
      <c r="G236" s="13">
        <f>IF($F$63&lt;=0,0,IF(ABS($H$63)/$F$63&lt;=$E$18/6+0.000001,$F$63/($E$18*$F$18)*(1+6*ABS($H$63)/$F$63/$E$18),2*$F$63/($F$18*$F$236)))</f>
        <v>87.470178437265218</v>
      </c>
      <c r="H236" s="3">
        <f>IF($F$63&lt;=0,0,$F$18*($G$236*(($E$18/2-0.35*$B$13)*MIN(($E$18/2-0.35*$B$13),$F$236)-MIN(($E$18/2-0.35*$B$13),$F$236)^2/2)-IF(ABS($H$63)/$F$63&lt;=$E$18/6+0.000001,12*$F$63*ABS($H$63)/$F$63/($F$18*$E$18^3),$G$236/$F$236)*(($E$18/2-0.35*$B$13)*MIN(($E$18/2-0.35*$B$13),$F$236)^2/2-MIN(($E$18/2-0.35*$B$13),$F$236)^3/3)))-1.35*($E$7*$G$18+$I$7*MAX($G$7-$G$18,0))*$F$18*($E$18/2-0.35*$B$13)^2/2</f>
        <v>75.457143831705494</v>
      </c>
      <c r="I236" s="14">
        <f>MAX($H$236,0)/($F$18*$H$18^2*$H$10*1000)</f>
        <v>5.5079578302791145E-3</v>
      </c>
      <c r="J236" s="3">
        <f>IF($H$236&lt;=0,0,IF($I$236&gt;=0.5,"μ ≥ 0,5",10*$H$236/($H$18*(1-0.4*1.25*(1-SQRT(1-2*$I$236)))*$E$10)))</f>
        <v>3.668466244245042</v>
      </c>
      <c r="K236" s="10">
        <f>MAX(N($E$236),N($J$236))</f>
        <v>3.668466244245042</v>
      </c>
    </row>
    <row r="237" spans="2:11" x14ac:dyDescent="0.25">
      <c r="B237" s="7" t="s">
        <v>74</v>
      </c>
      <c r="C237" s="3">
        <f>$G$28+1.35*$J$55</f>
        <v>183.609375</v>
      </c>
      <c r="D237" s="5">
        <f>IF($C$237&gt;0,ABS($H$64)/$C$237,"—")</f>
        <v>0.49147817207046207</v>
      </c>
      <c r="E237" s="3" t="str">
        <f>IF($C$237&lt;=0,"—",IF($D$237&lt;=$E$18/6+0.000001,10*$C$237*(1+3*$D$237/$E$18)*($E$18-$B$13)/(8*$H$18*$E$10),"—"))</f>
        <v>—</v>
      </c>
      <c r="F237" s="5">
        <f>IF($F$64&lt;=0,0,IF(ABS($H$64)/$F$64&lt;=$E$18/6+0.000001,$E$18,3*($E$18/2-ABS($H$64)/$F$64)))</f>
        <v>2.75</v>
      </c>
      <c r="G237" s="13">
        <f>IF($F$64&lt;=0,0,IF(ABS($H$64)/$F$64&lt;=$E$18/6+0.000001,$F$64/($E$18*$F$18)*(1+6*ABS($H$64)/$F$64/$E$18),2*$F$64/($F$18*$F$237)))</f>
        <v>92.223296393688955</v>
      </c>
      <c r="H237" s="3">
        <f>IF($F$64&lt;=0,0,$F$18*($G$237*(($E$18/2-0.35*$B$13)*MIN(($E$18/2-0.35*$B$13),$F$237)-MIN(($E$18/2-0.35*$B$13),$F$237)^2/2)-IF(ABS($H$64)/$F$64&lt;=$E$18/6+0.000001,12*$F$64*ABS($H$64)/$F$64/($F$18*$E$18^3),$G$237/$F$237)*(($E$18/2-0.35*$B$13)*MIN(($E$18/2-0.35*$B$13),$F$237)^2/2-MIN(($E$18/2-0.35*$B$13),$F$237)^3/3)))-1.35*($E$7*$G$18+$I$7*MAX($G$7-$G$18,0))*$F$18*($E$18/2-0.35*$B$13)^2/2</f>
        <v>83.273000781367372</v>
      </c>
      <c r="I237" s="14">
        <f>MAX($H$237,0)/($F$18*$H$18^2*$H$10*1000)</f>
        <v>6.0784725396914674E-3</v>
      </c>
      <c r="J237" s="3">
        <f>IF($H$237&lt;=0,0,IF($I$237&gt;=0.5,"μ ≥ 0,5",10*$H$237/($H$18*(1-0.4*1.25*(1-SQRT(1-2*$I$237)))*$E$10)))</f>
        <v>4.0496114192239254</v>
      </c>
      <c r="K237" s="10">
        <f>MAX(N($E$237),N($J$237))</f>
        <v>4.0496114192239254</v>
      </c>
    </row>
    <row r="238" spans="2:11" x14ac:dyDescent="0.25">
      <c r="B238" s="7" t="s">
        <v>75</v>
      </c>
      <c r="C238" s="3">
        <f>$G$29+1.35*$J$55</f>
        <v>-18.890625</v>
      </c>
      <c r="D238" s="5" t="str">
        <f>IF($C$238&gt;0,ABS($H$65)/$C$238,"—")</f>
        <v>—</v>
      </c>
      <c r="E238" s="3" t="str">
        <f>IF($C$238&lt;=0,"—",IF($D$238&lt;=$E$18/6+0.000001,10*$C$238*(1+3*$D$238/$E$18)*($E$18-$B$13)/(8*$H$18*$E$10),"—"))</f>
        <v>—</v>
      </c>
      <c r="F238" s="5">
        <f>IF($F$65&lt;=0,0,IF(ABS($H$65)/$F$65&lt;=$E$18/6+0.000001,$E$18,3*($E$18/2-ABS($H$65)/$F$65)))</f>
        <v>2.75</v>
      </c>
      <c r="G238" s="13">
        <f>IF($F$65&lt;=0,0,IF(ABS($H$65)/$F$65&lt;=$E$18/6+0.000001,$F$65/($E$18*$F$18)*(1+6*ABS($H$65)/$F$65/$E$18),2*$F$65/($F$18*$F$238)))</f>
        <v>71.020351239669424</v>
      </c>
      <c r="H238" s="3">
        <f>IF($F$65&lt;=0,0,$F$18*($G$238*(($E$18/2-0.35*$B$13)*MIN(($E$18/2-0.35*$B$13),$F$238)-MIN(($E$18/2-0.35*$B$13),$F$238)^2/2)-IF(ABS($H$65)/$F$65&lt;=$E$18/6+0.000001,12*$F$65*ABS($H$65)/$F$65/($F$18*$E$18^3),$G$238/$F$238)*(($E$18/2-0.35*$B$13)*MIN(($E$18/2-0.35*$B$13),$F$238)^2/2-MIN(($E$18/2-0.35*$B$13),$F$238)^3/3)))-1.35*($E$7*$G$18+$I$7*MAX($G$7-$G$18,0))*$F$18*($E$18/2-0.35*$B$13)^2/2</f>
        <v>38.080594710743796</v>
      </c>
      <c r="I238" s="14">
        <f>MAX($H$238,0)/($F$18*$H$18^2*$H$10*1000)</f>
        <v>2.779674649315255E-3</v>
      </c>
      <c r="J238" s="3">
        <f>IF($H$238&lt;=0,0,IF($I$238&gt;=0.5,"μ ≥ 0,5",10*$H$238/($H$18*(1-0.4*1.25*(1-SQRT(1-2*$I$238)))*$E$10)))</f>
        <v>1.8488076896389485</v>
      </c>
      <c r="K238" s="10">
        <f>MAX(N($E$238),N($J$238))</f>
        <v>1.8488076896389485</v>
      </c>
    </row>
    <row r="239" spans="2:11" x14ac:dyDescent="0.25">
      <c r="B239" s="7" t="s">
        <v>76</v>
      </c>
      <c r="C239" s="3">
        <f>$G$30+1.35*$J$55</f>
        <v>63.609375</v>
      </c>
      <c r="D239" s="5">
        <f>IF($C$239&gt;0,ABS($H$66)/$C$239,"—")</f>
        <v>0.81497420781134866</v>
      </c>
      <c r="E239" s="3" t="str">
        <f>IF($C$239&lt;=0,"—",IF($D$239&lt;=$E$18/6+0.000001,10*$C$239*(1+3*$D$239/$E$18)*($E$18-$B$13)/(8*$H$18*$E$10),"—"))</f>
        <v>—</v>
      </c>
      <c r="F239" s="5">
        <f>IF($F$66&lt;=0,0,IF(ABS($H$66)/$F$66&lt;=$E$18/6+0.000001,$E$18,3*($E$18/2-ABS($H$66)/$F$66)))</f>
        <v>2.75</v>
      </c>
      <c r="G239" s="13">
        <f>IF($F$66&lt;=0,0,IF(ABS($H$66)/$F$66&lt;=$E$18/6+0.000001,$F$66/($E$18*$F$18)*(1+6*ABS($H$66)/$F$66/$E$18),2*$F$66/($F$18*$F$239)))</f>
        <v>65.276940270473332</v>
      </c>
      <c r="H239" s="3">
        <f>IF($F$66&lt;=0,0,$F$18*($G$239*(($E$18/2-0.35*$B$13)*MIN(($E$18/2-0.35*$B$13),$F$239)-MIN(($E$18/2-0.35*$B$13),$F$239)^2/2)-IF(ABS($H$66)/$F$66&lt;=$E$18/6+0.000001,12*$F$66*ABS($H$66)/$F$66/($F$18*$E$18^3),$G$239/$F$239)*(($E$18/2-0.35*$B$13)*MIN(($E$18/2-0.35*$B$13),$F$239)^2/2-MIN(($E$18/2-0.35*$B$13),$F$239)^3/3)))-1.35*($E$7*$G$18+$I$7*MAX($G$7-$G$18,0))*$F$18*($E$18/2-0.35*$B$13)^2/2</f>
        <v>36.300482073628856</v>
      </c>
      <c r="I239" s="14">
        <f>MAX($H$239,0)/($F$18*$H$18^2*$H$10*1000)</f>
        <v>2.649736185698822E-3</v>
      </c>
      <c r="J239" s="3">
        <f>IF($H$239&lt;=0,0,IF($I$239&gt;=0.5,"μ ≥ 0,5",10*$H$239/($H$18*(1-0.4*1.25*(1-SQRT(1-2*$I$239)))*$E$10)))</f>
        <v>1.7622684980942844</v>
      </c>
      <c r="K239" s="10">
        <f>MAX(N($E$239),N($J$239))</f>
        <v>1.7622684980942844</v>
      </c>
    </row>
    <row r="240" spans="2:11" x14ac:dyDescent="0.25">
      <c r="B240" s="7" t="s">
        <v>77</v>
      </c>
      <c r="C240" s="3">
        <f>$G$31+1*$J$55</f>
        <v>-50.9375</v>
      </c>
      <c r="D240" s="5" t="str">
        <f>IF($C$240&gt;0,ABS($H$67)/$C$240,"—")</f>
        <v>—</v>
      </c>
      <c r="E240" s="3" t="str">
        <f>IF($C$240&lt;=0,"—",IF($D$240&lt;=$E$18/6+0.000001,10*$C$240*(1+3*$D$240/$E$18)*($E$18-$B$13)/(8*$H$18*$E$10),"—"))</f>
        <v>—</v>
      </c>
      <c r="F240" s="5">
        <f>IF($F$67&lt;=0,0,IF(ABS($H$67)/$F$67&lt;=$E$18/6+0.000001,$E$18,3*($E$18/2-ABS($H$67)/$F$67)))</f>
        <v>2.1177584272527921</v>
      </c>
      <c r="G240" s="13">
        <f>IF($F$67&lt;=0,0,IF(ABS($H$67)/$F$67&lt;=$E$18/6+0.000001,$F$67/($E$18*$F$18)*(1+6*ABS($H$67)/$F$67/$E$18),2*$F$67/($F$18*$F$240)))</f>
        <v>63.131717740896079</v>
      </c>
      <c r="H240" s="3">
        <f>IF($F$67&lt;=0,0,$F$18*($G$240*(($E$18/2-0.35*$B$13)*MIN(($E$18/2-0.35*$B$13),$F$240)-MIN(($E$18/2-0.35*$B$13),$F$240)^2/2)-IF(ABS($H$67)/$F$67&lt;=$E$18/6+0.000001,12*$F$67*ABS($H$67)/$F$67/($F$18*$E$18^3),$G$240/$F$240)*(($E$18/2-0.35*$B$13)*MIN(($E$18/2-0.35*$B$13),$F$240)^2/2-MIN(($E$18/2-0.35*$B$13),$F$240)^3/3)))-1*($E$7*$G$18+$I$7*MAX($G$7-$G$18,0))*$F$18*($E$18/2-0.35*$B$13)^2/2</f>
        <v>38.921780358150592</v>
      </c>
      <c r="I240" s="14">
        <f>MAX($H$240,0)/($F$18*$H$18^2*$H$10*1000)</f>
        <v>2.8410765900471527E-3</v>
      </c>
      <c r="J240" s="3">
        <f>IF($H$240&lt;=0,0,IF($I$240&gt;=0.5,"μ ≥ 0,5",10*$H$240/($H$18*(1-0.4*1.25*(1-SQRT(1-2*$I$240)))*$E$10)))</f>
        <v>1.8897053989293719</v>
      </c>
      <c r="K240" s="10">
        <f>MAX(N($E$240),N($J$240))</f>
        <v>1.8897053989293719</v>
      </c>
    </row>
    <row r="241" spans="2:11" x14ac:dyDescent="0.25">
      <c r="B241" s="7" t="s">
        <v>78</v>
      </c>
      <c r="C241" s="3">
        <f>$G$32+1*$J$55</f>
        <v>31.5625</v>
      </c>
      <c r="D241" s="5">
        <f>IF($C$241&gt;0,ABS($H$68)/$C$241,"—")</f>
        <v>1.2166336633663366</v>
      </c>
      <c r="E241" s="3" t="str">
        <f>IF($C$241&lt;=0,"—",IF($D$241&lt;=$E$18/6+0.000001,10*$C$241*(1+3*$D$241/$E$18)*($E$18-$B$13)/(8*$H$18*$E$10),"—"))</f>
        <v>—</v>
      </c>
      <c r="F241" s="5">
        <f>IF($F$68&lt;=0,0,IF(ABS($H$68)/$F$68&lt;=$E$18/6+0.000001,$E$18,3*($E$18/2-ABS($H$68)/$F$68)))</f>
        <v>2.75</v>
      </c>
      <c r="G241" s="13">
        <f>IF($F$68&lt;=0,0,IF(ABS($H$68)/$F$68&lt;=$E$18/6+0.000001,$F$68/($E$18*$F$18)*(1+6*ABS($H$68)/$F$68/$E$18),2*$F$68/($F$18*$F$241)))</f>
        <v>46.296356123215631</v>
      </c>
      <c r="H241" s="3">
        <f>IF($F$68&lt;=0,0,$F$18*($G$241*(($E$18/2-0.35*$B$13)*MIN(($E$18/2-0.35*$B$13),$F$241)-MIN(($E$18/2-0.35*$B$13),$F$241)^2/2)-IF(ABS($H$68)/$F$68&lt;=$E$18/6+0.000001,12*$F$68*ABS($H$68)/$F$68/($F$18*$E$18^3),$G$241/$F$241)*(($E$18/2-0.35*$B$13)*MIN(($E$18/2-0.35*$B$13),$F$241)^2/2-MIN(($E$18/2-0.35*$B$13),$F$241)^3/3)))-1*($E$7*$G$18+$I$7*MAX($G$7-$G$18,0))*$F$18*($E$18/2-0.35*$B$13)^2/2</f>
        <v>22.81651870773856</v>
      </c>
      <c r="I241" s="14">
        <f>MAX($H$241,0)/($F$18*$H$18^2*$H$10*1000)</f>
        <v>1.6654807814656988E-3</v>
      </c>
      <c r="J241" s="3">
        <f>IF($H$241&lt;=0,0,IF($I$241&gt;=0.5,"μ ≥ 0,5",10*$H$241/($H$18*(1-0.4*1.25*(1-SQRT(1-2*$I$241)))*$E$10)))</f>
        <v>1.1071198673379161</v>
      </c>
      <c r="K241" s="10">
        <f>MAX(N($E$241),N($J$241))</f>
        <v>1.1071198673379161</v>
      </c>
    </row>
    <row r="242" spans="2:11" x14ac:dyDescent="0.25">
      <c r="B242" s="7" t="s">
        <v>79</v>
      </c>
      <c r="C242" s="3">
        <f>$G$33+1.35*$J$55</f>
        <v>35.859375</v>
      </c>
      <c r="D242" s="5">
        <f>IF($C$242&gt;0,ABS($H$69)/$C$242,"—")</f>
        <v>1.8823529411764706</v>
      </c>
      <c r="E242" s="3" t="str">
        <f>IF($C$242&lt;=0,"—",IF($D$242&lt;=$E$18/6+0.000001,10*$C$242*(1+3*$D$242/$E$18)*($E$18-$B$13)/(8*$H$18*$E$10),"—"))</f>
        <v>—</v>
      </c>
      <c r="F242" s="5">
        <f>IF($F$69&lt;=0,0,IF(ABS($H$69)/$F$69&lt;=$E$18/6+0.000001,$E$18,3*($E$18/2-ABS($H$69)/$F$69)))</f>
        <v>2.75</v>
      </c>
      <c r="G242" s="13">
        <f>IF($F$69&lt;=0,0,IF(ABS($H$69)/$F$69&lt;=$E$18/6+0.000001,$F$69/($E$18*$F$18)*(1+6*ABS($H$69)/$F$69/$E$18),2*$F$69/($F$18*$F$242)))</f>
        <v>66.125505259203607</v>
      </c>
      <c r="H242" s="3">
        <f>IF($F$69&lt;=0,0,$F$18*($G$242*(($E$18/2-0.35*$B$13)*MIN(($E$18/2-0.35*$B$13),$F$242)-MIN(($E$18/2-0.35*$B$13),$F$242)^2/2)-IF(ABS($H$69)/$F$69&lt;=$E$18/6+0.000001,12*$F$69*ABS($H$69)/$F$69/($F$18*$E$18^3),$G$242/$F$242)*(($E$18/2-0.35*$B$13)*MIN(($E$18/2-0.35*$B$13),$F$242)^2/2-MIN(($E$18/2-0.35*$B$13),$F$242)^3/3)))-1.35*($E$7*$G$18+$I$7*MAX($G$7-$G$18,0))*$F$18*($E$18/2-0.35*$B$13)^2/2</f>
        <v>35.378280540946633</v>
      </c>
      <c r="I242" s="14">
        <f>MAX($H$242,0)/($F$18*$H$18^2*$H$10*1000)</f>
        <v>2.5824205294852588E-3</v>
      </c>
      <c r="J242" s="3">
        <f>IF($H$242&lt;=0,0,IF($I$242&gt;=0.5,"μ ≥ 0,5",10*$H$242/($H$18*(1-0.4*1.25*(1-SQRT(1-2*$I$242)))*$E$10)))</f>
        <v>1.7174406257385215</v>
      </c>
      <c r="K242" s="10">
        <f>MAX(N($E$242),N($J$242))</f>
        <v>1.7174406257385215</v>
      </c>
    </row>
    <row r="243" spans="2:11" x14ac:dyDescent="0.25">
      <c r="B243" s="7" t="s">
        <v>80</v>
      </c>
      <c r="C243" s="3">
        <f>$G$34+1.35*$J$55</f>
        <v>110.109375</v>
      </c>
      <c r="D243" s="5">
        <f>IF($C$243&gt;0,ABS($H$70)/$C$243,"—")</f>
        <v>0.70620689655172419</v>
      </c>
      <c r="E243" s="3" t="str">
        <f>IF($C$243&lt;=0,"—",IF($D$243&lt;=$E$18/6+0.000001,10*$C$243*(1+3*$D$243/$E$18)*($E$18-$B$13)/(8*$H$18*$E$10),"—"))</f>
        <v>—</v>
      </c>
      <c r="F243" s="5">
        <f>IF($F$70&lt;=0,0,IF(ABS($H$70)/$F$70&lt;=$E$18/6+0.000001,$E$18,3*($E$18/2-ABS($H$70)/$F$70)))</f>
        <v>2.75</v>
      </c>
      <c r="G243" s="13">
        <f>IF($F$70&lt;=0,0,IF(ABS($H$70)/$F$70&lt;=$E$18/6+0.000001,$F$70/($E$18*$F$18)*(1+6*ABS($H$70)/$F$70/$E$18),2*$F$70/($F$18*$F$243)))</f>
        <v>78.903747182569504</v>
      </c>
      <c r="H243" s="3">
        <f>IF($F$70&lt;=0,0,$F$18*($G$243*(($E$18/2-0.35*$B$13)*MIN(($E$18/2-0.35*$B$13),$F$243)-MIN(($E$18/2-0.35*$B$13),$F$243)^2/2)-IF(ABS($H$70)/$F$70&lt;=$E$18/6+0.000001,12*$F$70*ABS($H$70)/$F$70/($F$18*$E$18^3),$G$243/$F$243)*(($E$18/2-0.35*$B$13)*MIN(($E$18/2-0.35*$B$13),$F$243)^2/2-MIN(($E$18/2-0.35*$B$13),$F$243)^3/3)))-1.35*($E$7*$G$18+$I$7*MAX($G$7-$G$18,0))*$F$18*($E$18/2-0.35*$B$13)^2/2</f>
        <v>58.974204928625099</v>
      </c>
      <c r="I243" s="14">
        <f>MAX($H$243,0)/($F$18*$H$18^2*$H$10*1000)</f>
        <v>4.304793652746503E-3</v>
      </c>
      <c r="J243" s="3">
        <f>IF($H$243&lt;=0,0,IF($I$243&gt;=0.5,"μ ≥ 0,5",10*$H$243/($H$18*(1-0.4*1.25*(1-SQRT(1-2*$I$243)))*$E$10)))</f>
        <v>2.8653854866286563</v>
      </c>
      <c r="K243" s="10">
        <f>MAX(N($E$243),N($J$243))</f>
        <v>2.8653854866286563</v>
      </c>
    </row>
    <row r="244" spans="2:11" x14ac:dyDescent="0.25">
      <c r="B244" s="7" t="s">
        <v>81</v>
      </c>
      <c r="C244" s="3">
        <f>$G$35+1.35*$J$55</f>
        <v>49.359375</v>
      </c>
      <c r="D244" s="5">
        <f>IF($C$244&gt;0,ABS($H$71)/$C$244,"—")</f>
        <v>1.1924786324786325</v>
      </c>
      <c r="E244" s="3" t="str">
        <f>IF($C$244&lt;=0,"—",IF($D$244&lt;=$E$18/6+0.000001,10*$C$244*(1+3*$D$244/$E$18)*($E$18-$B$13)/(8*$H$18*$E$10),"—"))</f>
        <v>—</v>
      </c>
      <c r="F244" s="5">
        <f>IF($F$71&lt;=0,0,IF(ABS($H$71)/$F$71&lt;=$E$18/6+0.000001,$E$18,3*($E$18/2-ABS($H$71)/$F$71)))</f>
        <v>2.75</v>
      </c>
      <c r="G244" s="13">
        <f>IF($F$71&lt;=0,0,IF(ABS($H$71)/$F$71&lt;=$E$18/6+0.000001,$F$71/($E$18*$F$18)*(1+6*ABS($H$71)/$F$71/$E$18),2*$F$71/($F$18*$F$244)))</f>
        <v>65.417947032306543</v>
      </c>
      <c r="H244" s="3">
        <f>IF($F$71&lt;=0,0,$F$18*($G$244*(($E$18/2-0.35*$B$13)*MIN(($E$18/2-0.35*$B$13),$F$244)-MIN(($E$18/2-0.35*$B$13),$F$244)^2/2)-IF(ABS($H$71)/$F$71&lt;=$E$18/6+0.000001,12*$F$71*ABS($H$71)/$F$71/($F$18*$E$18^3),$G$244/$F$244)*(($E$18/2-0.35*$B$13)*MIN(($E$18/2-0.35*$B$13),$F$244)^2/2-MIN(($E$18/2-0.35*$B$13),$F$244)^3/3)))-1.35*($E$7*$G$18+$I$7*MAX($G$7-$G$18,0))*$F$18*($E$18/2-0.35*$B$13)^2/2</f>
        <v>35.413100195341841</v>
      </c>
      <c r="I244" s="14">
        <f>MAX($H$244,0)/($F$18*$H$18^2*$H$10*1000)</f>
        <v>2.5849621733685926E-3</v>
      </c>
      <c r="J244" s="3">
        <f>IF($H$244&lt;=0,0,IF($I$244&gt;=0.5,"μ ≥ 0,5",10*$H$244/($H$18*(1-0.4*1.25*(1-SQRT(1-2*$I$244)))*$E$10)))</f>
        <v>1.7191331410407598</v>
      </c>
      <c r="K244" s="10">
        <f>MAX(N($E$244),N($J$244))</f>
        <v>1.7191331410407598</v>
      </c>
    </row>
    <row r="245" spans="2:11" x14ac:dyDescent="0.25">
      <c r="B245" s="7" t="s">
        <v>82</v>
      </c>
      <c r="C245" s="3">
        <f>$G$36+1.35*$J$55</f>
        <v>123.609375</v>
      </c>
      <c r="D245" s="5">
        <f>IF($C$245&gt;0,ABS($H$72)/$C$245,"—")</f>
        <v>0.69897610921501707</v>
      </c>
      <c r="E245" s="3" t="str">
        <f>IF($C$245&lt;=0,"—",IF($D$245&lt;=$E$18/6+0.000001,10*$C$245*(1+3*$D$245/$E$18)*($E$18-$B$13)/(8*$H$18*$E$10),"—"))</f>
        <v>—</v>
      </c>
      <c r="F245" s="5">
        <f>IF($F$72&lt;=0,0,IF(ABS($H$72)/$F$72&lt;=$E$18/6+0.000001,$E$18,3*($E$18/2-ABS($H$72)/$F$72)))</f>
        <v>2.75</v>
      </c>
      <c r="G245" s="13">
        <f>IF($F$72&lt;=0,0,IF(ABS($H$72)/$F$72&lt;=$E$18/6+0.000001,$F$72/($E$18*$F$18)*(1+6*ABS($H$72)/$F$72/$E$18),2*$F$72/($F$18*$F$245)))</f>
        <v>83.18155334335087</v>
      </c>
      <c r="H245" s="3">
        <f>IF($F$72&lt;=0,0,$F$18*($G$245*(($E$18/2-0.35*$B$13)*MIN(($E$18/2-0.35*$B$13),$F$245)-MIN(($E$18/2-0.35*$B$13),$F$245)^2/2)-IF(ABS($H$72)/$F$72&lt;=$E$18/6+0.000001,12*$F$72*ABS($H$72)/$F$72/($F$18*$E$18^3),$G$245/$F$245)*(($E$18/2-0.35*$B$13)*MIN(($E$18/2-0.35*$B$13),$F$245)^2/2-MIN(($E$18/2-0.35*$B$13),$F$245)^3/3)))-1.35*($E$7*$G$18+$I$7*MAX($G$7-$G$18,0))*$F$18*($E$18/2-0.35*$B$13)^2/2</f>
        <v>66.008476183320809</v>
      </c>
      <c r="I245" s="14">
        <f>MAX($H$245,0)/($F$18*$H$18^2*$H$10*1000)</f>
        <v>4.8182568912176222E-3</v>
      </c>
      <c r="J245" s="3">
        <f>IF($H$245&lt;=0,0,IF($I$245&gt;=0.5,"μ ≥ 0,5",10*$H$245/($H$18*(1-0.4*1.25*(1-SQRT(1-2*$I$245)))*$E$10)))</f>
        <v>3.2079894785528742</v>
      </c>
      <c r="K245" s="10">
        <f>MAX(N($E$245),N($J$245))</f>
        <v>3.2079894785528742</v>
      </c>
    </row>
    <row r="246" spans="2:11" x14ac:dyDescent="0.25">
      <c r="B246" s="7" t="s">
        <v>83</v>
      </c>
      <c r="C246" s="3">
        <f>$G$37+1*$J$55</f>
        <v>121.5625</v>
      </c>
      <c r="D246" s="5">
        <f>IF($C$246&gt;0,ABS($H$73)/$C$246,"—")</f>
        <v>0.47383033419023129</v>
      </c>
      <c r="E246" s="3" t="str">
        <f>IF($C$246&lt;=0,"—",IF($D$246&lt;=$E$18/6+0.000001,10*$C$246*(1+3*$D$246/$E$18)*($E$18-$B$13)/(8*$H$18*$G$10),"—"))</f>
        <v>—</v>
      </c>
      <c r="F246" s="5">
        <f>IF($F$73&lt;=0,0,IF(ABS($H$73)/$F$73&lt;=$E$18/6+0.000001,$E$18,3*($E$18/2-ABS($H$73)/$F$73)))</f>
        <v>2.75</v>
      </c>
      <c r="G246" s="13">
        <f>IF($F$73&lt;=0,0,IF(ABS($H$73)/$F$73&lt;=$E$18/6+0.000001,$F$73/($E$18*$F$18)*(1+6*ABS($H$73)/$F$73/$E$18),2*$F$73/($F$18*$F$246)))</f>
        <v>63.736476333583767</v>
      </c>
      <c r="H246" s="3">
        <f>IF($F$73&lt;=0,0,$F$18*($G$246*(($E$18/2-0.35*$B$13)*MIN(($E$18/2-0.35*$B$13),$F$246)-MIN(($E$18/2-0.35*$B$13),$F$246)^2/2)-IF(ABS($H$73)/$F$73&lt;=$E$18/6+0.000001,12*$F$73*ABS($H$73)/$F$73/($F$18*$E$18^3),$G$246/$F$246)*(($E$18/2-0.35*$B$13)*MIN(($E$18/2-0.35*$B$13),$F$246)^2/2-MIN(($E$18/2-0.35*$B$13),$F$246)^3/3)))-1*($E$7*$G$18+$I$7*MAX($G$7-$G$18,0))*$F$18*($E$18/2-0.35*$B$13)^2/2</f>
        <v>54.157323516153262</v>
      </c>
      <c r="I246" s="14">
        <f>MAX($H$246,0)/($F$18*$H$18^2*$G$10*1000)</f>
        <v>2.7774918210077151E-4</v>
      </c>
      <c r="J246" s="3">
        <f>IF($H$246&lt;=0,0,10*$H$246/($H$18*(1-(1+2*SQRT((3+90*$I$246)/3)*COS(ACOS((3/(3+90*$I$246))*SQRT(3/(3+90*$I$246)))/3-2*PI()/3))/3)*$G$10))</f>
        <v>4.6670179299400267</v>
      </c>
      <c r="K246" s="10">
        <f>MAX(N($E$246),N($J$246))</f>
        <v>4.6670179299400267</v>
      </c>
    </row>
    <row r="247" spans="2:11" x14ac:dyDescent="0.25">
      <c r="B247" s="7" t="s">
        <v>85</v>
      </c>
      <c r="C247" s="3">
        <f>$G$38+1*$J$55</f>
        <v>131.5625</v>
      </c>
      <c r="D247" s="5">
        <f>IF($C$247&gt;0,ABS($H$74)/$C$247,"—")</f>
        <v>0.48646080760095012</v>
      </c>
      <c r="E247" s="3" t="str">
        <f>IF($C$247&lt;=0,"—",IF($D$247&lt;=$E$18/6+0.000001,10*$C$247*(1+3*$D$247/$E$18)*($E$18-$B$13)/(8*$H$18*$G$10),"—"))</f>
        <v>—</v>
      </c>
      <c r="F247" s="5">
        <f>IF($F$74&lt;=0,0,IF(ABS($H$74)/$F$74&lt;=$E$18/6+0.000001,$E$18,3*($E$18/2-ABS($H$74)/$F$74)))</f>
        <v>2.75</v>
      </c>
      <c r="G247" s="13">
        <f>IF($F$74&lt;=0,0,IF(ABS($H$74)/$F$74&lt;=$E$18/6+0.000001,$F$74/($E$18*$F$18)*(1+6*ABS($H$74)/$F$74/$E$18),2*$F$74/($F$18*$F$247)))</f>
        <v>66.905221637866276</v>
      </c>
      <c r="H247" s="3">
        <f>IF($F$74&lt;=0,0,$F$18*($G$247*(($E$18/2-0.35*$B$13)*MIN(($E$18/2-0.35*$B$13),$F$247)-MIN(($E$18/2-0.35*$B$13),$F$247)^2/2)-IF(ABS($H$74)/$F$74&lt;=$E$18/6+0.000001,12*$F$74*ABS($H$74)/$F$74/($F$18*$E$18^3),$G$247/$F$247)*(($E$18/2-0.35*$B$13)*MIN(($E$18/2-0.35*$B$13),$F$247)^2/2-MIN(($E$18/2-0.35*$B$13),$F$247)^3/3)))-1*($E$7*$G$18+$I$7*MAX($G$7-$G$18,0))*$F$18*($E$18/2-0.35*$B$13)^2/2</f>
        <v>59.36789481592789</v>
      </c>
      <c r="I247" s="14">
        <f>MAX($H$247,0)/($F$18*$H$18^2*$G$10*1000)</f>
        <v>3.0447191917175136E-4</v>
      </c>
      <c r="J247" s="3">
        <f>IF($H$247&lt;=0,0,10*$H$247/($H$18*(1-(1+2*SQRT((3+90*$I$247)/3)*COS(ACOS((3/(3+90*$I$247))*SQRT(3/(3+90*$I$247)))/3-2*PI()/3))/3)*$G$10))</f>
        <v>5.1231090462438207</v>
      </c>
      <c r="K247" s="10">
        <f>MAX(N($E$247),N($J$247))</f>
        <v>5.1231090462438207</v>
      </c>
    </row>
    <row r="248" spans="2:11" x14ac:dyDescent="0.25">
      <c r="B248" s="7" t="s">
        <v>86</v>
      </c>
      <c r="C248" s="3">
        <f>$G$39+1*$J$55</f>
        <v>-3.4375</v>
      </c>
      <c r="D248" s="5" t="str">
        <f>IF($C$248&gt;0,ABS($H$75)/$C$248,"—")</f>
        <v>—</v>
      </c>
      <c r="E248" s="3" t="str">
        <f>IF($C$248&lt;=0,"—",IF($D$248&lt;=$E$18/6+0.000001,10*$C$248*(1+3*$D$248/$E$18)*($E$18-$B$13)/(8*$H$18*$G$10),"—"))</f>
        <v>—</v>
      </c>
      <c r="F248" s="5">
        <f>IF($F$75&lt;=0,0,IF(ABS($H$75)/$F$75&lt;=$E$18/6+0.000001,$E$18,3*($E$18/2-ABS($H$75)/$F$75)))</f>
        <v>2.75</v>
      </c>
      <c r="G248" s="13">
        <f>IF($F$75&lt;=0,0,IF(ABS($H$75)/$F$75&lt;=$E$18/6+0.000001,$F$75/($E$18*$F$18)*(1+6*ABS($H$75)/$F$75/$E$18),2*$F$75/($F$18*$F$248)))</f>
        <v>50.554207362885052</v>
      </c>
      <c r="H248" s="3">
        <f>IF($F$75&lt;=0,0,$F$18*($G$248*(($E$18/2-0.35*$B$13)*MIN(($E$18/2-0.35*$B$13),$F$248)-MIN(($E$18/2-0.35*$B$13),$F$248)^2/2)-IF(ABS($H$75)/$F$75&lt;=$E$18/6+0.000001,12*$F$75*ABS($H$75)/$F$75/($F$18*$E$18^3),$G$248/$F$248)*(($E$18/2-0.35*$B$13)*MIN(($E$18/2-0.35*$B$13),$F$248)^2/2-MIN(($E$18/2-0.35*$B$13),$F$248)^3/3)))-1*($E$7*$G$18+$I$7*MAX($G$7-$G$18,0))*$F$18*($E$18/2-0.35*$B$13)^2/2</f>
        <v>26.128756724267483</v>
      </c>
      <c r="I248" s="14">
        <f>MAX($H$248,0)/($F$18*$H$18^2*$G$10*1000)</f>
        <v>1.3400294435360606E-4</v>
      </c>
      <c r="J248" s="3">
        <f>IF($H$248&lt;=0,0,10*$H$248/($H$18*(1-(1+2*SQRT((3+90*$I$248)/3)*COS(ACOS((3/(3+90*$I$248))*SQRT(3/(3+90*$I$248)))/3-2*PI()/3))/3)*$G$10))</f>
        <v>2.231406382190277</v>
      </c>
      <c r="K248" s="10">
        <f>MAX(N($E$248),N($J$248))</f>
        <v>2.231406382190277</v>
      </c>
    </row>
    <row r="249" spans="2:11" x14ac:dyDescent="0.25">
      <c r="B249" s="7" t="s">
        <v>87</v>
      </c>
      <c r="C249" s="3">
        <f>$G$40+1*$J$55</f>
        <v>51.5625</v>
      </c>
      <c r="D249" s="5">
        <f>IF($C$249&gt;0,ABS($H$76)/$C$249,"—")</f>
        <v>0.74472727272727268</v>
      </c>
      <c r="E249" s="3" t="str">
        <f>IF($C$249&lt;=0,"—",IF($D$249&lt;=$E$18/6+0.000001,10*$C$249*(1+3*$D$249/$E$18)*($E$18-$B$13)/(8*$H$18*$G$10),"—"))</f>
        <v>—</v>
      </c>
      <c r="F249" s="5">
        <f>IF($F$76&lt;=0,0,IF(ABS($H$76)/$F$76&lt;=$E$18/6+0.000001,$E$18,3*($E$18/2-ABS($H$76)/$F$76)))</f>
        <v>2.75</v>
      </c>
      <c r="G249" s="13">
        <f>IF($F$76&lt;=0,0,IF(ABS($H$76)/$F$76&lt;=$E$18/6+0.000001,$F$76/($E$18*$F$18)*(1+6*ABS($H$76)/$F$76/$E$18),2*$F$76/($F$18*$F$249)))</f>
        <v>48.94098422238919</v>
      </c>
      <c r="H249" s="3">
        <f>IF($F$76&lt;=0,0,$F$18*($G$249*(($E$18/2-0.35*$B$13)*MIN(($E$18/2-0.35*$B$13),$F$249)-MIN(($E$18/2-0.35*$B$13),$F$249)^2/2)-IF(ABS($H$76)/$F$76&lt;=$E$18/6+0.000001,12*$F$76*ABS($H$76)/$F$76/($F$18*$E$18^3),$G$249/$F$249)*(($E$18/2-0.35*$B$13)*MIN(($E$18/2-0.35*$B$13),$F$249)^2/2-MIN(($E$18/2-0.35*$B$13),$F$249)^3/3)))-1*($E$7*$G$18+$I$7*MAX($G$7-$G$18,0))*$F$18*($E$18/2-0.35*$B$13)^2/2</f>
        <v>28.052882344102223</v>
      </c>
      <c r="I249" s="14">
        <f>MAX($H$249,0)/($F$18*$H$18^2*$G$10*1000)</f>
        <v>1.4387094156009355E-4</v>
      </c>
      <c r="J249" s="3">
        <f>IF($H$249&lt;=0,0,10*$H$249/($H$18*(1-(1+2*SQRT((3+90*$I$249)/3)*COS(ACOS((3/(3+90*$I$249))*SQRT(3/(3+90*$I$249)))/3-2*PI()/3))/3)*$G$10))</f>
        <v>2.3975170092139795</v>
      </c>
      <c r="K249" s="10">
        <f>MAX(N($E$249),N($J$249))</f>
        <v>2.3975170092139795</v>
      </c>
    </row>
    <row r="250" spans="2:11" x14ac:dyDescent="0.25">
      <c r="B250" s="7" t="s">
        <v>88</v>
      </c>
      <c r="C250" s="3">
        <f>$G$41+1*$J$55</f>
        <v>33.0625</v>
      </c>
      <c r="D250" s="5">
        <f>IF($C$250&gt;0,ABS($H$77)/$C$250,"—")</f>
        <v>1.244914933837429</v>
      </c>
      <c r="E250" s="3" t="str">
        <f>IF($C$250&lt;=0,"—",IF($D$250&lt;=$E$18/6+0.000001,10*$C$250*(1+3*$D$250/$E$18)*($E$18-$B$13)/(8*$H$18*$G$10),"—"))</f>
        <v>—</v>
      </c>
      <c r="F250" s="5">
        <f>IF($F$77&lt;=0,0,IF(ABS($H$77)/$F$77&lt;=$E$18/6+0.000001,$E$18,3*($E$18/2-ABS($H$77)/$F$77)))</f>
        <v>2.75</v>
      </c>
      <c r="G250" s="13">
        <f>IF($F$77&lt;=0,0,IF(ABS($H$77)/$F$77&lt;=$E$18/6+0.000001,$F$77/($E$18*$F$18)*(1+6*ABS($H$77)/$F$77/$E$18),2*$F$77/($F$18*$F$250)))</f>
        <v>47.290976709241178</v>
      </c>
      <c r="H250" s="3">
        <f>IF($F$77&lt;=0,0,$F$18*($G$250*(($E$18/2-0.35*$B$13)*MIN(($E$18/2-0.35*$B$13),$F$250)-MIN(($E$18/2-0.35*$B$13),$F$250)^2/2)-IF(ABS($H$77)/$F$77&lt;=$E$18/6+0.000001,12*$F$77*ABS($H$77)/$F$77/($F$18*$E$18^3),$G$250/$F$250)*(($E$18/2-0.35*$B$13)*MIN(($E$18/2-0.35*$B$13),$F$250)^2/2-MIN(($E$18/2-0.35*$B$13),$F$250)^3/3)))-1*($E$7*$G$18+$I$7*MAX($G$7-$G$18,0))*$F$18*($E$18/2-0.35*$B$13)^2/2</f>
        <v>24.327213944402722</v>
      </c>
      <c r="I250" s="14">
        <f>MAX($H$250,0)/($F$18*$H$18^2*$G$10*1000)</f>
        <v>1.2476362082097724E-4</v>
      </c>
      <c r="J250" s="3">
        <f>IF($H$250&lt;=0,0,10*$H$250/($H$18*(1-(1+2*SQRT((3+90*$I$250)/3)*COS(ACOS((3/(3+90*$I$250))*SQRT(3/(3+90*$I$250)))/3-2*PI()/3))/3)*$G$10))</f>
        <v>2.0760479964082847</v>
      </c>
      <c r="K250" s="10">
        <f>MAX(N($E$250),N($J$250))</f>
        <v>2.0760479964082847</v>
      </c>
    </row>
    <row r="251" spans="2:11" x14ac:dyDescent="0.25">
      <c r="B251" s="7" t="s">
        <v>89</v>
      </c>
      <c r="C251" s="3">
        <f>$G$42+1*$J$55</f>
        <v>82.5625</v>
      </c>
      <c r="D251" s="5">
        <f>IF($C$251&gt;0,ABS($H$78)/$C$251,"—")</f>
        <v>0.67439818319454958</v>
      </c>
      <c r="E251" s="3" t="str">
        <f>IF($C$251&lt;=0,"—",IF($D$251&lt;=$E$18/6+0.000001,10*$C$251*(1+3*$D$251/$E$18)*($E$18-$B$13)/(8*$H$18*$G$10),"—"))</f>
        <v>—</v>
      </c>
      <c r="F251" s="5">
        <f>IF($F$78&lt;=0,0,IF(ABS($H$78)/$F$78&lt;=$E$18/6+0.000001,$E$18,3*($E$18/2-ABS($H$78)/$F$78)))</f>
        <v>2.75</v>
      </c>
      <c r="G251" s="13">
        <f>IF($F$78&lt;=0,0,IF(ABS($H$78)/$F$78&lt;=$E$18/6+0.000001,$F$78/($E$18*$F$18)*(1+6*ABS($H$78)/$F$78/$E$18),2*$F$78/($F$18*$F$251)))</f>
        <v>58.025522163786626</v>
      </c>
      <c r="H251" s="3">
        <f>IF($F$78&lt;=0,0,$F$18*($G$251*(($E$18/2-0.35*$B$13)*MIN(($E$18/2-0.35*$B$13),$F$251)-MIN(($E$18/2-0.35*$B$13),$F$251)^2/2)-IF(ABS($H$78)/$F$78&lt;=$E$18/6+0.000001,12*$F$78*ABS($H$78)/$F$78/($F$18*$E$18^3),$G$251/$F$251)*(($E$18/2-0.35*$B$13)*MIN(($E$18/2-0.35*$B$13),$F$251)^2/2-MIN(($E$18/2-0.35*$B$13),$F$251)^3/3)))-1*($E$7*$G$18+$I$7*MAX($G$7-$G$18,0))*$F$18*($E$18/2-0.35*$B$13)^2/2</f>
        <v>43.168697580766356</v>
      </c>
      <c r="I251" s="14">
        <f>MAX($H$251,0)/($F$18*$H$18^2*$G$10*1000)</f>
        <v>2.2139333458451256E-4</v>
      </c>
      <c r="J251" s="3">
        <f>IF($H$251&lt;=0,0,10*$H$251/($H$18*(1-(1+2*SQRT((3+90*$I$251)/3)*COS(ACOS((3/(3+90*$I$251))*SQRT(3/(3+90*$I$251)))/3-2*PI()/3))/3)*$G$10))</f>
        <v>3.7083399017632179</v>
      </c>
      <c r="K251" s="10">
        <f>MAX(N($E$251),N($J$251))</f>
        <v>3.7083399017632179</v>
      </c>
    </row>
    <row r="252" spans="2:11" ht="28.5" x14ac:dyDescent="0.25">
      <c r="B252" s="7" t="s">
        <v>90</v>
      </c>
      <c r="C252" s="3">
        <f>$G$43+1*$J$55</f>
        <v>145.20249999999999</v>
      </c>
      <c r="D252" s="5">
        <f>IF($C$252&gt;0,ABS($H$79)/$C$252,"—")</f>
        <v>2.5949966426197895</v>
      </c>
      <c r="E252" s="3" t="str">
        <f>IF($C$252&lt;=0,"—",IF($D$252&lt;=$E$18/6+0.000001,10*$C$252*(1+3*$D$252/$E$18)*($E$18-$B$13)/(8*$H$18*$F$10),"—"))</f>
        <v>—</v>
      </c>
      <c r="F252" s="5">
        <f>IF($F$79&lt;=0,0,IF(ABS($H$79)/$F$79&lt;=$E$18/6+0.000001,$E$18,3*($E$18/2-ABS($H$79)/$F$79)))</f>
        <v>1.1500625453361168</v>
      </c>
      <c r="G252" s="13">
        <f>IF($F$79&lt;=0,0,IF(ABS($H$79)/$F$79&lt;=$E$18/6+0.000001,$F$79/($E$18*$F$18)*(1+6*ABS($H$79)/$F$79/$E$18),2*$F$79/($F$18*$F$252)))</f>
        <v>240.28693145487622</v>
      </c>
      <c r="H252" s="3">
        <f>IF($F$79&lt;=0,0,$F$18*($G$252*(($E$18/2-0.35*$B$13)*MIN(($E$18/2-0.35*$B$13),$F$252)-MIN(($E$18/2-0.35*$B$13),$F$252)^2/2)-IF(ABS($H$79)/$F$79&lt;=$E$18/6+0.000001,12*$F$79*ABS($H$79)/$F$79/($F$18*$E$18^3),$G$252/$F$252)*(($E$18/2-0.35*$B$13)*MIN(($E$18/2-0.35*$B$13),$F$252)^2/2-MIN(($E$18/2-0.35*$B$13),$F$252)^3/3)))-1*($E$7*$G$18+$I$7*MAX($G$7-$G$18,0))*$F$18*($E$18/2-0.35*$B$13)^2/2</f>
        <v>247.83548437500002</v>
      </c>
      <c r="I252" s="14">
        <f>MAX($H$252,0)/($F$18*$H$18^2*$I$10*1000)</f>
        <v>1.4472505345061589E-2</v>
      </c>
      <c r="J252" s="3">
        <f>IF($H$252&lt;=0,0,IF($I$252&gt;=0.5,"μ ≥ 0,5",10*$H$252/($H$18*(1-0.4*1.25*(1-SQRT(1-2*$I$252)))*$F$10)))</f>
        <v>10.525097758100427</v>
      </c>
      <c r="K252" s="10">
        <f>MAX(N($E$252),N($J$252))</f>
        <v>10.525097758100427</v>
      </c>
    </row>
    <row r="253" spans="2:11" ht="28.5" x14ac:dyDescent="0.25">
      <c r="B253" s="7" t="s">
        <v>92</v>
      </c>
      <c r="C253" s="3">
        <f>$G$44+1*$J$55</f>
        <v>127.9225</v>
      </c>
      <c r="D253" s="5">
        <f>IF($C$253&gt;0,ABS($H$80)/$C$253,"—")</f>
        <v>2.9455334284430021</v>
      </c>
      <c r="E253" s="3" t="str">
        <f>IF($C$253&lt;=0,"—",IF($D$253&lt;=$E$18/6+0.000001,10*$C$253*(1+3*$D$253/$E$18)*($E$18-$B$13)/(8*$H$18*$F$10),"—"))</f>
        <v>—</v>
      </c>
      <c r="F253" s="5">
        <f>IF($F$80&lt;=0,0,IF(ABS($H$80)/$F$80&lt;=$E$18/6+0.000001,$E$18,3*($E$18/2-ABS($H$80)/$F$80)))</f>
        <v>1.0083263543169096</v>
      </c>
      <c r="G253" s="13">
        <f>IF($F$80&lt;=0,0,IF(ABS($H$80)/$F$80&lt;=$E$18/6+0.000001,$F$80/($E$18*$F$18)*(1+6*ABS($H$80)/$F$80/$E$18),2*$F$80/($F$18*$F$253)))</f>
        <v>261.59955667470717</v>
      </c>
      <c r="H253" s="3">
        <f>IF($F$80&lt;=0,0,$F$18*($G$253*(($E$18/2-0.35*$B$13)*MIN(($E$18/2-0.35*$B$13),$F$253)-MIN(($E$18/2-0.35*$B$13),$F$253)^2/2)-IF(ABS($H$80)/$F$80&lt;=$E$18/6+0.000001,12*$F$80*ABS($H$80)/$F$80/($F$18*$E$18^3),$G$253/$F$253)*(($E$18/2-0.35*$B$13)*MIN(($E$18/2-0.35*$B$13),$F$253)^2/2-MIN(($E$18/2-0.35*$B$13),$F$253)^3/3)))-1*($E$7*$G$18+$I$7*MAX($G$7-$G$18,0))*$F$18*($E$18/2-0.35*$B$13)^2/2</f>
        <v>250.85948437500002</v>
      </c>
      <c r="I253" s="14">
        <f>MAX($H$253,0)/($F$18*$H$18^2*$I$10*1000)</f>
        <v>1.4649093682578445E-2</v>
      </c>
      <c r="J253" s="3">
        <f>IF($H$253&lt;=0,0,IF($I$253&gt;=0.5,"μ ≥ 0,5",10*$H$253/($H$18*(1-0.4*1.25*(1-SQRT(1-2*$I$253)))*$F$10)))</f>
        <v>10.654482982740449</v>
      </c>
      <c r="K253" s="10">
        <f>MAX(N($E$253),N($J$253))</f>
        <v>10.654482982740449</v>
      </c>
    </row>
    <row r="254" spans="2:11" ht="28.5" x14ac:dyDescent="0.25">
      <c r="B254" s="7" t="s">
        <v>93</v>
      </c>
      <c r="C254" s="3">
        <f>$G$45+1*$J$55</f>
        <v>140.16249999999999</v>
      </c>
      <c r="D254" s="5">
        <f>IF($C$254&gt;0,ABS($H$81)/$C$254,"—")</f>
        <v>1.0270364755194863</v>
      </c>
      <c r="E254" s="3" t="str">
        <f>IF($C$254&lt;=0,"—",IF($D$254&lt;=$E$18/6+0.000001,10*$C$254*(1+3*$D$254/$E$18)*($E$18-$B$13)/(8*$H$18*$F$10),"—"))</f>
        <v>—</v>
      </c>
      <c r="F254" s="5">
        <f>IF($F$81&lt;=0,0,IF(ABS($H$81)/$F$81&lt;=$E$18/6+0.000001,$E$18,3*($E$18/2-ABS($H$81)/$F$81)))</f>
        <v>2.75</v>
      </c>
      <c r="G254" s="13">
        <f>IF($F$81&lt;=0,0,IF(ABS($H$81)/$F$81&lt;=$E$18/6+0.000001,$F$81/($E$18*$F$18)*(1+6*ABS($H$81)/$F$81/$E$18),2*$F$81/($F$18*$F$254)))</f>
        <v>91.10895416979713</v>
      </c>
      <c r="H254" s="3">
        <f>IF($F$81&lt;=0,0,$F$18*($G$254*(($E$18/2-0.35*$B$13)*MIN(($E$18/2-0.35*$B$13),$F$254)-MIN(($E$18/2-0.35*$B$13),$F$254)^2/2)-IF(ABS($H$81)/$F$81&lt;=$E$18/6+0.000001,12*$F$81*ABS($H$81)/$F$81/($F$18*$E$18^3),$G$254/$F$254)*(($E$18/2-0.35*$B$13)*MIN(($E$18/2-0.35*$B$13),$F$254)^2/2-MIN(($E$18/2-0.35*$B$13),$F$254)^3/3)))-1*($E$7*$G$18+$I$7*MAX($G$7-$G$18,0))*$F$18*($E$18/2-0.35*$B$13)^2/2</f>
        <v>94.0049567783621</v>
      </c>
      <c r="I254" s="14">
        <f>MAX($H$254,0)/($F$18*$H$18^2*$I$10*1000)</f>
        <v>5.4894771943898683E-3</v>
      </c>
      <c r="J254" s="3">
        <f>IF($H$254&lt;=0,0,IF($I$254&gt;=0.5,"μ ≥ 0,5",10*$H$254/($H$18*(1-0.4*1.25*(1-SQRT(1-2*$I$254)))*$F$10)))</f>
        <v>3.9740473016660904</v>
      </c>
      <c r="K254" s="10">
        <f>MAX(N($E$254),N($J$254))</f>
        <v>3.9740473016660904</v>
      </c>
    </row>
    <row r="255" spans="2:11" ht="28.5" x14ac:dyDescent="0.25">
      <c r="B255" s="7" t="s">
        <v>94</v>
      </c>
      <c r="C255" s="3">
        <f>$G$46+1*$J$55</f>
        <v>82.5625</v>
      </c>
      <c r="D255" s="5">
        <f>IF($C$255&gt;0,ABS($H$82)/$C$255,"—")</f>
        <v>1.7435518546555639</v>
      </c>
      <c r="E255" s="3" t="str">
        <f>IF($C$255&lt;=0,"—",IF($D$255&lt;=$E$18/6+0.000001,10*$C$255*(1+3*$D$255/$E$18)*($E$18-$B$13)/(8*$H$18*$F$10),"—"))</f>
        <v>—</v>
      </c>
      <c r="F255" s="5">
        <f>IF($F$82&lt;=0,0,IF(ABS($H$82)/$F$82&lt;=$E$18/6+0.000001,$E$18,3*($E$18/2-ABS($H$82)/$F$82)))</f>
        <v>2.75</v>
      </c>
      <c r="G255" s="13">
        <f>IF($F$82&lt;=0,0,IF(ABS($H$82)/$F$82&lt;=$E$18/6+0.000001,$F$82/($E$18*$F$18)*(1+6*ABS($H$82)/$F$82/$E$18),2*$F$82/($F$18*$F$255)))</f>
        <v>83.492425244177312</v>
      </c>
      <c r="H255" s="3">
        <f>IF($F$82&lt;=0,0,$F$18*($G$255*(($E$18/2-0.35*$B$13)*MIN(($E$18/2-0.35*$B$13),$F$255)-MIN(($E$18/2-0.35*$B$13),$F$255)^2/2)-IF(ABS($H$82)/$F$82&lt;=$E$18/6+0.000001,12*$F$82*ABS($H$82)/$F$82/($F$18*$E$18^3),$G$255/$F$255)*(($E$18/2-0.35*$B$13)*MIN(($E$18/2-0.35*$B$13),$F$255)^2/2-MIN(($E$18/2-0.35*$B$13),$F$255)^3/3)))-1*($E$7*$G$18+$I$7*MAX($G$7-$G$18,0))*$F$18*($E$18/2-0.35*$B$13)^2/2</f>
        <v>78.924229505634855</v>
      </c>
      <c r="I255" s="14">
        <f>MAX($H$255,0)/($F$18*$H$18^2*$I$10*1000)</f>
        <v>4.6088288618382715E-3</v>
      </c>
      <c r="J255" s="3">
        <f>IF($H$255&lt;=0,0,IF($I$255&gt;=0.5,"μ ≥ 0,5",10*$H$255/($H$18*(1-0.4*1.25*(1-SQRT(1-2*$I$255)))*$F$10)))</f>
        <v>3.3350314808702577</v>
      </c>
      <c r="K255" s="10">
        <f>MAX(N($E$255),N($J$255))</f>
        <v>3.3350314808702577</v>
      </c>
    </row>
    <row r="256" spans="2:11" ht="28.5" x14ac:dyDescent="0.25">
      <c r="B256" s="7" t="s">
        <v>95</v>
      </c>
      <c r="C256" s="3">
        <f>$G$47+1*$J$55</f>
        <v>55.922499999999999</v>
      </c>
      <c r="D256" s="5">
        <f>IF($C$256&gt;0,ABS($H$83)/$C$256,"—")</f>
        <v>5.1585676606017259</v>
      </c>
      <c r="E256" s="3" t="str">
        <f>IF($C$256&lt;=0,"—",IF($D$256&lt;=$E$18/6+0.000001,10*$C$256*(1+3*$D$256/$E$18)*($E$18-$B$13)/(8*$H$18*$F$10),"—"))</f>
        <v>—</v>
      </c>
      <c r="F256" s="5">
        <f>IF($F$83&lt;=0,0,IF(ABS($H$83)/$F$83&lt;=$E$18/6+0.000001,$E$18,3*($E$18/2-ABS($H$83)/$F$83)))</f>
        <v>1.1478526093771162</v>
      </c>
      <c r="G256" s="13">
        <f>IF($F$83&lt;=0,0,IF(ABS($H$83)/$F$83&lt;=$E$18/6+0.000001,$F$83/($E$18*$F$18)*(1+6*ABS($H$83)/$F$83/$E$18),2*$F$83/($F$18*$F$256)))</f>
        <v>184.18226275916649</v>
      </c>
      <c r="H256" s="3">
        <f>IF($F$83&lt;=0,0,$F$18*($G$256*(($E$18/2-0.35*$B$13)*MIN(($E$18/2-0.35*$B$13),$F$256)-MIN(($E$18/2-0.35*$B$13),$F$256)^2/2)-IF(ABS($H$83)/$F$83&lt;=$E$18/6+0.000001,12*$F$83*ABS($H$83)/$F$83/($F$18*$E$18^3),$G$256/$F$256)*(($E$18/2-0.35*$B$13)*MIN(($E$18/2-0.35*$B$13),$F$256)^2/2-MIN(($E$18/2-0.35*$B$13),$F$256)^3/3)))-1*($E$7*$G$18+$I$7*MAX($G$7-$G$18,0))*$F$18*($E$18/2-0.35*$B$13)^2/2</f>
        <v>175.13948437500005</v>
      </c>
      <c r="I256" s="14">
        <f>MAX($H$256,0)/($F$18*$H$18^2*$I$10*1000)</f>
        <v>1.0227377770946035E-2</v>
      </c>
      <c r="J256" s="3">
        <f>IF($H$256&lt;=0,0,IF($I$256&gt;=0.5,"μ ≥ 0,5",10*$H$256/($H$18*(1-0.4*1.25*(1-SQRT(1-2*$I$256)))*$F$10)))</f>
        <v>7.4217694663737062</v>
      </c>
      <c r="K256" s="10">
        <f>MAX(N($E$256),N($J$256))</f>
        <v>7.4217694663737062</v>
      </c>
    </row>
    <row r="257" spans="2:11" ht="28.5" x14ac:dyDescent="0.25">
      <c r="B257" s="7" t="s">
        <v>96</v>
      </c>
      <c r="C257" s="3">
        <f>$G$48+1*$J$55</f>
        <v>73.202500000000001</v>
      </c>
      <c r="D257" s="5">
        <f>IF($C$257&gt;0,ABS($H$84)/$C$257,"—")</f>
        <v>3.940849014719443</v>
      </c>
      <c r="E257" s="3" t="str">
        <f>IF($C$257&lt;=0,"—",IF($D$257&lt;=$E$18/6+0.000001,10*$C$257*(1+3*$D$257/$E$18)*($E$18-$B$13)/(8*$H$18*$F$10),"—"))</f>
        <v>—</v>
      </c>
      <c r="F257" s="5">
        <f>IF($F$84&lt;=0,0,IF(ABS($H$84)/$F$84&lt;=$E$18/6+0.000001,$E$18,3*($E$18/2-ABS($H$84)/$F$84)))</f>
        <v>1.3148960749575349</v>
      </c>
      <c r="G257" s="13">
        <f>IF($F$84&lt;=0,0,IF(ABS($H$84)/$F$84&lt;=$E$18/6+0.000001,$F$84/($E$18*$F$18)*(1+6*ABS($H$84)/$F$84/$E$18),2*$F$84/($F$18*$F$257)))</f>
        <v>170.34149534867021</v>
      </c>
      <c r="H257" s="3">
        <f>IF($F$84&lt;=0,0,$F$18*($G$257*(($E$18/2-0.35*$B$13)*MIN(($E$18/2-0.35*$B$13),$F$257)-MIN(($E$18/2-0.35*$B$13),$F$257)^2/2)-IF(ABS($H$84)/$F$84&lt;=$E$18/6+0.000001,12*$F$84*ABS($H$84)/$F$84/($F$18*$E$18^3),$G$257/$F$257)*(($E$18/2-0.35*$B$13)*MIN(($E$18/2-0.35*$B$13),$F$257)^2/2-MIN(($E$18/2-0.35*$B$13),$F$257)^3/3)))-1*($E$7*$G$18+$I$7*MAX($G$7-$G$18,0))*$F$18*($E$18/2-0.35*$B$13)^2/2</f>
        <v>172.20554315263558</v>
      </c>
      <c r="I257" s="14">
        <f>MAX($H$257,0)/($F$18*$H$18^2*$I$10*1000)</f>
        <v>1.005604847106855E-2</v>
      </c>
      <c r="J257" s="3">
        <f>IF($H$257&lt;=0,0,IF($I$257&gt;=0.5,"μ ≥ 0,5",10*$H$257/($H$18*(1-0.4*1.25*(1-SQRT(1-2*$I$257)))*$F$10)))</f>
        <v>7.2968050116420269</v>
      </c>
      <c r="K257" s="10">
        <f>MAX(N($E$257),N($J$257))</f>
        <v>7.2968050116420269</v>
      </c>
    </row>
    <row r="258" spans="2:11" ht="28.5" x14ac:dyDescent="0.25">
      <c r="B258" s="7" t="s">
        <v>97</v>
      </c>
      <c r="C258" s="3">
        <f>$G$49+1*$J$55</f>
        <v>60.962499999999999</v>
      </c>
      <c r="D258" s="5">
        <f>IF($C$258&gt;0,ABS($H$85)/$C$258,"—")</f>
        <v>0.91256100061513235</v>
      </c>
      <c r="E258" s="3" t="str">
        <f>IF($C$258&lt;=0,"—",IF($D$258&lt;=$E$18/6+0.000001,10*$C$258*(1+3*$D$258/$E$18)*($E$18-$B$13)/(8*$H$18*$F$10),"—"))</f>
        <v>—</v>
      </c>
      <c r="F258" s="5">
        <f>IF($F$85&lt;=0,0,IF(ABS($H$85)/$F$85&lt;=$E$18/6+0.000001,$E$18,3*($E$18/2-ABS($H$85)/$F$85)))</f>
        <v>2.75</v>
      </c>
      <c r="G258" s="13">
        <f>IF($F$85&lt;=0,0,IF(ABS($H$85)/$F$85&lt;=$E$18/6+0.000001,$F$85/($E$18*$F$18)*(1+6*ABS($H$85)/$F$85/$E$18),2*$F$85/($F$18*$F$258)))</f>
        <v>55.15547558226897</v>
      </c>
      <c r="H258" s="3">
        <f>IF($F$85&lt;=0,0,$F$18*($G$258*(($E$18/2-0.35*$B$13)*MIN(($E$18/2-0.35*$B$13),$F$258)-MIN(($E$18/2-0.35*$B$13),$F$258)^2/2)-IF(ABS($H$85)/$F$85&lt;=$E$18/6+0.000001,12*$F$85*ABS($H$85)/$F$85/($F$18*$E$18^3),$G$258/$F$258)*(($E$18/2-0.35*$B$13)*MIN(($E$18/2-0.35*$B$13),$F$258)^2/2-MIN(($E$18/2-0.35*$B$13),$F$258)^3/3)))-1*($E$7*$G$18+$I$7*MAX($G$7-$G$18,0))*$F$18*($E$18/2-0.35*$B$13)^2/2</f>
        <v>37.493981932381679</v>
      </c>
      <c r="I258" s="14">
        <f>MAX($H$258,0)/($F$18*$H$18^2*$I$10*1000)</f>
        <v>2.189484105928027E-3</v>
      </c>
      <c r="J258" s="3">
        <f>IF($H$258&lt;=0,0,IF($I$258&gt;=0.5,"μ ≥ 0,5",10*$H$258/($H$18*(1-0.4*1.25*(1-SQRT(1-2*$I$258)))*$F$10)))</f>
        <v>1.5824248856636309</v>
      </c>
      <c r="K258" s="10">
        <f>MAX(N($E$258),N($J$258))</f>
        <v>1.5824248856636309</v>
      </c>
    </row>
    <row r="259" spans="2:11" ht="28.5" x14ac:dyDescent="0.25">
      <c r="B259" s="7" t="s">
        <v>98</v>
      </c>
      <c r="C259" s="3">
        <f>$G$50+1*$J$55</f>
        <v>118.5625</v>
      </c>
      <c r="D259" s="5">
        <f>IF($C$259&gt;0,ABS($H$86)/$C$259,"—")</f>
        <v>0.46922087506589355</v>
      </c>
      <c r="E259" s="3" t="str">
        <f>IF($C$259&lt;=0,"—",IF($D$259&lt;=$E$18/6+0.000001,10*$C$259*(1+3*$D$259/$E$18)*($E$18-$B$13)/(8*$H$18*$F$10),"—"))</f>
        <v>—</v>
      </c>
      <c r="F259" s="5">
        <f>IF($F$86&lt;=0,0,IF(ABS($H$86)/$F$86&lt;=$E$18/6+0.000001,$E$18,3*($E$18/2-ABS($H$86)/$F$86)))</f>
        <v>2.75</v>
      </c>
      <c r="G259" s="13">
        <f>IF($F$86&lt;=0,0,IF(ABS($H$86)/$F$86&lt;=$E$18/6+0.000001,$F$86/($E$18*$F$18)*(1+6*ABS($H$86)/$F$86/$E$18),2*$F$86/($F$18*$F$259)))</f>
        <v>62.772004507888816</v>
      </c>
      <c r="H259" s="3">
        <f>IF($F$86&lt;=0,0,$F$18*($G$259*(($E$18/2-0.35*$B$13)*MIN(($E$18/2-0.35*$B$13),$F$259)-MIN(($E$18/2-0.35*$B$13),$F$259)^2/2)-IF(ABS($H$86)/$F$86&lt;=$E$18/6+0.000001,12*$F$86*ABS($H$86)/$F$86/($F$18*$E$18^3),$G$259/$F$259)*(($E$18/2-0.35*$B$13)*MIN(($E$18/2-0.35*$B$13),$F$259)^2/2-MIN(($E$18/2-0.35*$B$13),$F$259)^3/3)))-1*($E$7*$G$18+$I$7*MAX($G$7-$G$18,0))*$F$18*($E$18/2-0.35*$B$13)^2/2</f>
        <v>52.574709205108981</v>
      </c>
      <c r="I259" s="14">
        <f>MAX($H$259,0)/($F$18*$H$18^2*$I$10*1000)</f>
        <v>3.0701324384796273E-3</v>
      </c>
      <c r="J259" s="3">
        <f>IF($H$259&lt;=0,0,IF($I$259&gt;=0.5,"μ ≥ 0,5",10*$H$259/($H$18*(1-0.4*1.25*(1-SQRT(1-2*$I$259)))*$F$10)))</f>
        <v>2.2198846373209364</v>
      </c>
      <c r="K259" s="10">
        <f>MAX(N($E$259),N($J$259))</f>
        <v>2.2198846373209364</v>
      </c>
    </row>
    <row r="261" spans="2:11" ht="20.100000000000001" customHeight="1" x14ac:dyDescent="0.25">
      <c r="B261" s="17" t="s">
        <v>193</v>
      </c>
      <c r="C261" s="18"/>
      <c r="D261" s="18"/>
      <c r="E261" s="17" t="s">
        <v>101</v>
      </c>
      <c r="F261" s="18"/>
      <c r="G261" s="18"/>
      <c r="H261" s="18"/>
      <c r="I261" s="17" t="s">
        <v>194</v>
      </c>
      <c r="J261" s="18"/>
      <c r="K261" s="1" t="s">
        <v>49</v>
      </c>
    </row>
    <row r="262" spans="2:11" x14ac:dyDescent="0.25">
      <c r="B262" s="26" t="s">
        <v>195</v>
      </c>
      <c r="C262" s="23"/>
      <c r="D262" s="23"/>
      <c r="E262" s="32" t="s">
        <v>196</v>
      </c>
      <c r="F262" s="21"/>
      <c r="G262" s="21"/>
      <c r="H262" s="21"/>
      <c r="I262" s="20">
        <f>MAX($K$236:$K$259)</f>
        <v>10.654482982740449</v>
      </c>
      <c r="J262" s="21"/>
      <c r="K262" s="6"/>
    </row>
    <row r="263" spans="2:11" x14ac:dyDescent="0.25">
      <c r="B263" s="26" t="s">
        <v>197</v>
      </c>
      <c r="C263" s="23"/>
      <c r="D263" s="23"/>
      <c r="E263" s="32" t="s">
        <v>198</v>
      </c>
      <c r="F263" s="21"/>
      <c r="G263" s="21"/>
      <c r="H263" s="21"/>
      <c r="I263" s="20">
        <f>0.23*$F$18*$H$18*$D$7/$B$7*10000</f>
        <v>19.69130625</v>
      </c>
      <c r="J263" s="21"/>
      <c r="K263" s="6"/>
    </row>
    <row r="264" spans="2:11" x14ac:dyDescent="0.25">
      <c r="B264" s="26" t="s">
        <v>199</v>
      </c>
      <c r="C264" s="23"/>
      <c r="D264" s="23"/>
      <c r="E264" s="32" t="s">
        <v>200</v>
      </c>
      <c r="F264" s="21"/>
      <c r="G264" s="21"/>
      <c r="H264" s="21"/>
      <c r="I264" s="15">
        <f>MAX($I$262,$I$263)</f>
        <v>19.69130625</v>
      </c>
      <c r="J264" s="16"/>
      <c r="K264" s="6"/>
    </row>
    <row r="265" spans="2:11" x14ac:dyDescent="0.25">
      <c r="B265" s="26" t="s">
        <v>201</v>
      </c>
      <c r="C265" s="23"/>
      <c r="D265" s="23"/>
      <c r="E265" s="32" t="s">
        <v>202</v>
      </c>
      <c r="F265" s="21"/>
      <c r="G265" s="21"/>
      <c r="H265" s="21"/>
      <c r="I265" s="37">
        <v>12</v>
      </c>
      <c r="J265" s="38"/>
      <c r="K265" s="6"/>
    </row>
    <row r="266" spans="2:11" x14ac:dyDescent="0.25">
      <c r="B266" s="26" t="s">
        <v>203</v>
      </c>
      <c r="C266" s="23"/>
      <c r="D266" s="23"/>
      <c r="E266" s="32" t="s">
        <v>202</v>
      </c>
      <c r="F266" s="21"/>
      <c r="G266" s="21"/>
      <c r="H266" s="21"/>
      <c r="I266" s="39">
        <v>0.156</v>
      </c>
      <c r="J266" s="38"/>
      <c r="K266" s="6"/>
    </row>
    <row r="267" spans="2:11" x14ac:dyDescent="0.25">
      <c r="B267" s="26" t="s">
        <v>204</v>
      </c>
      <c r="C267" s="23"/>
      <c r="D267" s="23"/>
      <c r="E267" s="32" t="s">
        <v>205</v>
      </c>
      <c r="F267" s="21"/>
      <c r="G267" s="21"/>
      <c r="H267" s="21"/>
      <c r="I267" s="31">
        <f>MAX(CEILING(($F$18-2*$F$7)/$I$266-0.000000001,1)+1,2)</f>
        <v>18</v>
      </c>
      <c r="J267" s="21"/>
      <c r="K267" s="6"/>
    </row>
    <row r="268" spans="2:11" ht="15.75" x14ac:dyDescent="0.25">
      <c r="B268" s="26" t="s">
        <v>206</v>
      </c>
      <c r="C268" s="23"/>
      <c r="D268" s="23"/>
      <c r="E268" s="32" t="s">
        <v>207</v>
      </c>
      <c r="F268" s="21"/>
      <c r="G268" s="21"/>
      <c r="H268" s="21"/>
      <c r="I268" s="15">
        <f>$I$267*PI()*$I$265^2/400</f>
        <v>20.357520395261858</v>
      </c>
      <c r="J268" s="16"/>
      <c r="K268" s="9" t="str">
        <f>IF($I$268&gt;=$I$264-0.0001,"OK","NON OK")</f>
        <v>OK</v>
      </c>
    </row>
    <row r="269" spans="2:11" ht="15.75" x14ac:dyDescent="0.25">
      <c r="B269" s="26" t="s">
        <v>208</v>
      </c>
      <c r="C269" s="23"/>
      <c r="D269" s="23"/>
      <c r="E269" s="32" t="s">
        <v>209</v>
      </c>
      <c r="F269" s="21"/>
      <c r="G269" s="21"/>
      <c r="H269" s="21"/>
      <c r="I269" s="20">
        <f>MIN(2*$G$18,0.25)</f>
        <v>0.25</v>
      </c>
      <c r="J269" s="21"/>
      <c r="K269" s="9" t="str">
        <f>IF($I$266&lt;=$I$269+0.0001,"OK","NON OK")</f>
        <v>OK</v>
      </c>
    </row>
    <row r="270" spans="2:11" x14ac:dyDescent="0.25">
      <c r="B270" s="27" t="s">
        <v>210</v>
      </c>
      <c r="C270" s="18"/>
      <c r="D270" s="18"/>
      <c r="E270" s="40" t="str">
        <f>$I$267&amp;" HA"&amp;$I$265&amp;"  e = "&amp;TEXT($I$266*100,"0")&amp;" cm  (As = "&amp;TEXT($I$268,"0.00")&amp;" cm²)"</f>
        <v>18 HA12  e = 16 cm  (As = 20.36 cm²)</v>
      </c>
      <c r="F270" s="38"/>
      <c r="G270" s="38"/>
      <c r="H270" s="38"/>
      <c r="I270" s="38"/>
      <c r="J270" s="38"/>
      <c r="K270" s="38"/>
    </row>
    <row r="272" spans="2:11" ht="20.100000000000001" customHeight="1" x14ac:dyDescent="0.25">
      <c r="B272" s="19" t="s">
        <v>211</v>
      </c>
      <c r="C272" s="18"/>
      <c r="D272" s="18"/>
      <c r="E272" s="18"/>
      <c r="F272" s="18"/>
      <c r="G272" s="18"/>
      <c r="H272" s="18"/>
      <c r="I272" s="18"/>
      <c r="J272" s="18"/>
      <c r="K272" s="18"/>
    </row>
    <row r="273" spans="2:11" ht="45" customHeight="1" x14ac:dyDescent="0.25">
      <c r="B273" s="24" t="s">
        <v>212</v>
      </c>
      <c r="C273" s="25"/>
      <c r="D273" s="25"/>
      <c r="E273" s="25"/>
      <c r="F273" s="25"/>
      <c r="G273" s="25"/>
      <c r="H273" s="25"/>
      <c r="I273" s="25"/>
      <c r="J273" s="25"/>
      <c r="K273" s="25"/>
    </row>
    <row r="274" spans="2:11" ht="30" customHeight="1" x14ac:dyDescent="0.25">
      <c r="B274" s="1" t="s">
        <v>63</v>
      </c>
      <c r="C274" s="1" t="s">
        <v>167</v>
      </c>
      <c r="D274" s="1" t="s">
        <v>179</v>
      </c>
      <c r="E274" s="1" t="s">
        <v>180</v>
      </c>
      <c r="F274" s="1" t="s">
        <v>181</v>
      </c>
      <c r="G274" s="1" t="s">
        <v>182</v>
      </c>
      <c r="H274" s="1" t="s">
        <v>183</v>
      </c>
      <c r="I274" s="1" t="s">
        <v>184</v>
      </c>
      <c r="J274" s="1" t="s">
        <v>185</v>
      </c>
      <c r="K274" s="1" t="s">
        <v>186</v>
      </c>
    </row>
    <row r="275" spans="2:11" ht="30" customHeight="1" x14ac:dyDescent="0.25">
      <c r="B275" s="2"/>
      <c r="C275" s="2" t="s">
        <v>172</v>
      </c>
      <c r="D275" s="2" t="s">
        <v>187</v>
      </c>
      <c r="E275" s="2" t="s">
        <v>213</v>
      </c>
      <c r="F275" s="2" t="s">
        <v>214</v>
      </c>
      <c r="G275" s="2"/>
      <c r="H275" s="2"/>
      <c r="I275" s="2" t="s">
        <v>190</v>
      </c>
      <c r="J275" s="2" t="s">
        <v>191</v>
      </c>
      <c r="K275" s="2" t="s">
        <v>192</v>
      </c>
    </row>
    <row r="276" spans="2:11" x14ac:dyDescent="0.25">
      <c r="B276" s="7" t="s">
        <v>71</v>
      </c>
      <c r="C276" s="3">
        <f>$G$27+1.35*$J$55</f>
        <v>168.609375</v>
      </c>
      <c r="D276" s="5">
        <f>IF($C$276&gt;0,ABS($I$63)/$C$276,"—")</f>
        <v>0</v>
      </c>
      <c r="E276" s="3">
        <f>IF($C$276&lt;=0,"—",IF($D$276&lt;=$F$18/6+0.000001,10*$C$276*(1+3*$D$276/$F$18)*($F$18-$C$13)/(8*$J$18*$E$10),"—"))</f>
        <v>2.3546888914750652</v>
      </c>
      <c r="F276" s="5">
        <f>IF($F$63&lt;=0,0,IF(ABS($I$63)/$F$63&lt;=$F$18/6+0.000001,$F$18,3*($F$18/2-ABS($I$63)/$F$63)))</f>
        <v>2.75</v>
      </c>
      <c r="G276" s="13">
        <f>IF($F$63&lt;=0,0,IF(ABS($I$63)/$F$63&lt;=$F$18/6+0.000001,$F$63/($F$18*$E$18)*(1+6*ABS($I$63)/$F$63/$F$18),2*$F$63/($E$18*$F$276)))</f>
        <v>64.205144628099177</v>
      </c>
      <c r="H276" s="3">
        <f>IF($F$63&lt;=0,0,$E$18*($G$276*(($F$18/2-0.35*$C$13)*MIN(($F$18/2-0.35*$C$13),$F$276)-MIN(($F$18/2-0.35*$C$13),$F$276)^2/2)-IF(ABS($I$63)/$F$63&lt;=$F$18/6+0.000001,12*$F$63*ABS($I$63)/$F$63/($E$18*$F$18^3),$G$276/$F$276)*(($F$18/2-0.35*$C$13)*MIN(($F$18/2-0.35*$C$13),$F$276)^2/2-MIN(($F$18/2-0.35*$C$13),$F$276)^3/3)))-1.35*($E$7*$G$18+$I$7*MAX($G$7-$G$18,0))*$E$18*($F$18/2-0.35*$C$13)^2/2</f>
        <v>42.793036363636375</v>
      </c>
      <c r="I276" s="14">
        <f>MAX($H$276,0)/($E$18*$J$18^2*$H$10*1000)</f>
        <v>3.2765409956485555E-3</v>
      </c>
      <c r="J276" s="3">
        <f>IF($H$276&lt;=0,0,IF($I$276&gt;=0.5,"μ ≥ 0,5",10*$H$276/($J$18*(1-0.4*1.25*(1-SQRT(1-2*$I$276)))*$E$10)))</f>
        <v>2.1283626780023841</v>
      </c>
      <c r="K276" s="10">
        <f>MAX(N($E$276),N($J$276))</f>
        <v>2.3546888914750652</v>
      </c>
    </row>
    <row r="277" spans="2:11" x14ac:dyDescent="0.25">
      <c r="B277" s="7" t="s">
        <v>74</v>
      </c>
      <c r="C277" s="3">
        <f>$G$28+1.35*$J$55</f>
        <v>183.609375</v>
      </c>
      <c r="D277" s="5">
        <f>IF($C$277&gt;0,ABS($I$64)/$C$277,"—")</f>
        <v>0</v>
      </c>
      <c r="E277" s="3">
        <f>IF($C$277&lt;=0,"—",IF($D$277&lt;=$F$18/6+0.000001,10*$C$277*(1+3*$D$277/$F$18)*($F$18-$C$13)/(8*$J$18*$E$10),"—"))</f>
        <v>2.5641691375890545</v>
      </c>
      <c r="F277" s="5">
        <f>IF($F$64&lt;=0,0,IF(ABS($I$64)/$F$64&lt;=$F$18/6+0.000001,$F$18,3*($F$18/2-ABS($I$64)/$F$64)))</f>
        <v>2.75</v>
      </c>
      <c r="G277" s="13">
        <f>IF($F$64&lt;=0,0,IF(ABS($I$64)/$F$64&lt;=$F$18/6+0.000001,$F$64/($F$18*$E$18)*(1+6*ABS($I$64)/$F$64/$F$18),2*$F$64/($E$18*$F$277)))</f>
        <v>66.188615702479339</v>
      </c>
      <c r="H277" s="3">
        <f>IF($F$64&lt;=0,0,$E$18*($G$277*(($F$18/2-0.35*$C$13)*MIN(($F$18/2-0.35*$C$13),$F$277)-MIN(($F$18/2-0.35*$C$13),$F$277)^2/2)-IF(ABS($I$64)/$F$64&lt;=$F$18/6+0.000001,12*$F$64*ABS($I$64)/$F$64/($E$18*$F$18^3),$G$277/$F$277)*(($F$18/2-0.35*$C$13)*MIN(($F$18/2-0.35*$C$13),$F$277)^2/2-MIN(($F$18/2-0.35*$C$13),$F$277)^3/3)))-1.35*($E$7*$G$18+$I$7*MAX($G$7-$G$18,0))*$E$18*($F$18/2-0.35*$C$13)^2/2</f>
        <v>46.720309090909083</v>
      </c>
      <c r="I277" s="14">
        <f>MAX($H$277,0)/($E$18*$J$18^2*$H$10*1000)</f>
        <v>3.5772410904643579E-3</v>
      </c>
      <c r="J277" s="3">
        <f>IF($H$277&lt;=0,0,IF($I$277&gt;=0.5,"μ ≥ 0,5",10*$H$277/($J$18*(1-0.4*1.25*(1-SQRT(1-2*$I$277)))*$E$10)))</f>
        <v>2.3240414685443782</v>
      </c>
      <c r="K277" s="10">
        <f>MAX(N($E$277),N($J$277))</f>
        <v>2.5641691375890545</v>
      </c>
    </row>
    <row r="278" spans="2:11" x14ac:dyDescent="0.25">
      <c r="B278" s="7" t="s">
        <v>75</v>
      </c>
      <c r="C278" s="3">
        <f>$G$29+1.35*$J$55</f>
        <v>-18.890625</v>
      </c>
      <c r="D278" s="5" t="str">
        <f>IF($C$278&gt;0,ABS($I$65)/$C$278,"—")</f>
        <v>—</v>
      </c>
      <c r="E278" s="3" t="str">
        <f>IF($C$278&lt;=0,"—",IF($D$278&lt;=$F$18/6+0.000001,10*$C$278*(1+3*$D$278/$F$18)*($F$18-$C$13)/(8*$J$18*$E$10),"—"))</f>
        <v>—</v>
      </c>
      <c r="F278" s="5">
        <f>IF($F$65&lt;=0,0,IF(ABS($I$65)/$F$65&lt;=$F$18/6+0.000001,$F$18,3*($F$18/2-ABS($I$65)/$F$65)))</f>
        <v>2.75</v>
      </c>
      <c r="G278" s="13">
        <f>IF($F$65&lt;=0,0,IF(ABS($I$65)/$F$65&lt;=$F$18/6+0.000001,$F$65/($F$18*$E$18)*(1+6*ABS($I$65)/$F$65/$F$18),2*$F$65/($E$18*$F$278)))</f>
        <v>39.411756198347106</v>
      </c>
      <c r="H278" s="3">
        <f>IF($F$65&lt;=0,0,$E$18*($G$278*(($F$18/2-0.35*$C$13)*MIN(($F$18/2-0.35*$C$13),$F$278)-MIN(($F$18/2-0.35*$C$13),$F$278)^2/2)-IF(ABS($I$65)/$F$65&lt;=$F$18/6+0.000001,12*$F$65*ABS($I$65)/$F$65/($E$18*$F$18^3),$G$278/$F$278)*(($F$18/2-0.35*$C$13)*MIN(($F$18/2-0.35*$C$13),$F$278)^2/2-MIN(($F$18/2-0.35*$C$13),$F$278)^3/3)))-1.35*($E$7*$G$18+$I$7*MAX($G$7-$G$18,0))*$E$18*($F$18/2-0.35*$C$13)^2/2</f>
        <v>-6.2978727272727326</v>
      </c>
      <c r="I278" s="14">
        <f>MAX($H$278,0)/($E$18*$J$18^2*$H$10*1000)</f>
        <v>0</v>
      </c>
      <c r="J278" s="3">
        <f>IF($H$278&lt;=0,0,IF($I$278&gt;=0.5,"μ ≥ 0,5",10*$H$278/($J$18*(1-0.4*1.25*(1-SQRT(1-2*$I$278)))*$E$10)))</f>
        <v>0</v>
      </c>
      <c r="K278" s="10">
        <f>MAX(N($E$278),N($J$278))</f>
        <v>0</v>
      </c>
    </row>
    <row r="279" spans="2:11" x14ac:dyDescent="0.25">
      <c r="B279" s="7" t="s">
        <v>76</v>
      </c>
      <c r="C279" s="3">
        <f>$G$30+1.35*$J$55</f>
        <v>63.609375</v>
      </c>
      <c r="D279" s="5">
        <f>IF($C$279&gt;0,ABS($I$66)/$C$279,"—")</f>
        <v>1.1908621960206338</v>
      </c>
      <c r="E279" s="3" t="str">
        <f>IF($C$279&lt;=0,"—",IF($D$279&lt;=$F$18/6+0.000001,10*$C$279*(1+3*$D$279/$F$18)*($F$18-$C$13)/(8*$J$18*$E$10),"—"))</f>
        <v>—</v>
      </c>
      <c r="F279" s="5">
        <f>IF($F$66&lt;=0,0,IF(ABS($I$66)/$F$66&lt;=$F$18/6+0.000001,$F$18,3*($F$18/2-ABS($I$66)/$F$66)))</f>
        <v>2.75</v>
      </c>
      <c r="G279" s="13">
        <f>IF($F$66&lt;=0,0,IF(ABS($I$66)/$F$66&lt;=$F$18/6+0.000001,$F$66/($F$18*$E$18)*(1+6*ABS($I$66)/$F$66/$F$18),2*$F$66/($E$18*$F$279)))</f>
        <v>72.17509203606312</v>
      </c>
      <c r="H279" s="3">
        <f>IF($F$66&lt;=0,0,$E$18*($G$279*(($F$18/2-0.35*$C$13)*MIN(($F$18/2-0.35*$C$13),$F$279)-MIN(($F$18/2-0.35*$C$13),$F$279)^2/2)-IF(ABS($I$66)/$F$66&lt;=$F$18/6+0.000001,12*$F$66*ABS($I$66)/$F$66/($E$18*$F$18^3),$G$279/$F$279)*(($F$18/2-0.35*$C$13)*MIN(($F$18/2-0.35*$C$13),$F$279)^2/2-MIN(($F$18/2-0.35*$C$13),$F$279)^3/3)))-1.35*($E$7*$G$18+$I$7*MAX($G$7-$G$18,0))*$E$18*($F$18/2-0.35*$C$13)^2/2</f>
        <v>45.98548715251691</v>
      </c>
      <c r="I279" s="14">
        <f>MAX($H$279,0)/($E$18*$J$18^2*$H$10*1000)</f>
        <v>3.5209778661120465E-3</v>
      </c>
      <c r="J279" s="3">
        <f>IF($H$279&lt;=0,0,IF($I$279&gt;=0.5,"μ ≥ 0,5",10*$H$279/($J$18*(1-0.4*1.25*(1-SQRT(1-2*$I$279)))*$E$10)))</f>
        <v>2.2874240052857759</v>
      </c>
      <c r="K279" s="10">
        <f>MAX(N($E$279),N($J$279))</f>
        <v>2.2874240052857759</v>
      </c>
    </row>
    <row r="280" spans="2:11" x14ac:dyDescent="0.25">
      <c r="B280" s="7" t="s">
        <v>77</v>
      </c>
      <c r="C280" s="3">
        <f>$G$31+1*$J$55</f>
        <v>-50.9375</v>
      </c>
      <c r="D280" s="5" t="str">
        <f>IF($C$280&gt;0,ABS($I$67)/$C$280,"—")</f>
        <v>—</v>
      </c>
      <c r="E280" s="3" t="str">
        <f>IF($C$280&lt;=0,"—",IF($D$280&lt;=$F$18/6+0.000001,10*$C$280*(1+3*$D$280/$F$18)*($F$18-$C$13)/(8*$J$18*$E$10),"—"))</f>
        <v>—</v>
      </c>
      <c r="F280" s="5">
        <f>IF($F$67&lt;=0,0,IF(ABS($I$67)/$F$67&lt;=$F$18/6+0.000001,$F$18,3*($F$18/2-ABS($I$67)/$F$67)))</f>
        <v>2.75</v>
      </c>
      <c r="G280" s="13">
        <f>IF($F$67&lt;=0,0,IF(ABS($I$67)/$F$67&lt;=$F$18/6+0.000001,$F$67/($F$18*$E$18)*(1+6*ABS($I$67)/$F$67/$F$18),2*$F$67/($E$18*$F$280)))</f>
        <v>24.308677685950414</v>
      </c>
      <c r="H280" s="3">
        <f>IF($F$67&lt;=0,0,$E$18*($G$280*(($F$18/2-0.35*$C$13)*MIN(($F$18/2-0.35*$C$13),$F$280)-MIN(($F$18/2-0.35*$C$13),$F$280)^2/2)-IF(ABS($I$67)/$F$67&lt;=$F$18/6+0.000001,12*$F$67*ABS($I$67)/$F$67/($E$18*$F$18^3),$G$280/$F$280)*(($F$18/2-0.35*$C$13)*MIN(($F$18/2-0.35*$C$13),$F$280)^2/2-MIN(($F$18/2-0.35*$C$13),$F$280)^3/3)))-1*($E$7*$G$18+$I$7*MAX($G$7-$G$18,0))*$E$18*($F$18/2-0.35*$C$13)^2/2</f>
        <v>-14.337818181818164</v>
      </c>
      <c r="I280" s="14">
        <f>MAX($H$280,0)/($E$18*$J$18^2*$H$10*1000)</f>
        <v>0</v>
      </c>
      <c r="J280" s="3">
        <f>IF($H$280&lt;=0,0,IF($I$280&gt;=0.5,"μ ≥ 0,5",10*$H$280/($J$18*(1-0.4*1.25*(1-SQRT(1-2*$I$280)))*$E$10)))</f>
        <v>0</v>
      </c>
      <c r="K280" s="10">
        <f>MAX(N($E$280),N($J$280))</f>
        <v>0</v>
      </c>
    </row>
    <row r="281" spans="2:11" x14ac:dyDescent="0.25">
      <c r="B281" s="7" t="s">
        <v>78</v>
      </c>
      <c r="C281" s="3">
        <f>$G$32+1*$J$55</f>
        <v>31.5625</v>
      </c>
      <c r="D281" s="5">
        <f>IF($C$281&gt;0,ABS($I$68)/$C$281,"—")</f>
        <v>2.4</v>
      </c>
      <c r="E281" s="3" t="str">
        <f>IF($C$281&lt;=0,"—",IF($D$281&lt;=$F$18/6+0.000001,10*$C$281*(1+3*$D$281/$F$18)*($F$18-$C$13)/(8*$J$18*$E$10),"—"))</f>
        <v>—</v>
      </c>
      <c r="F281" s="5">
        <f>IF($F$68&lt;=0,0,IF(ABS($I$68)/$F$68&lt;=$F$18/6+0.000001,$F$18,3*($F$18/2-ABS($I$68)/$F$68)))</f>
        <v>2.75</v>
      </c>
      <c r="G281" s="13">
        <f>IF($F$68&lt;=0,0,IF(ABS($I$68)/$F$68&lt;=$F$18/6+0.000001,$F$68/($F$18*$E$18)*(1+6*ABS($I$68)/$F$68/$F$18),2*$F$68/($E$18*$F$281)))</f>
        <v>57.072013523666428</v>
      </c>
      <c r="H281" s="3">
        <f>IF($F$68&lt;=0,0,$E$18*($G$281*(($F$18/2-0.35*$C$13)*MIN(($F$18/2-0.35*$C$13),$F$281)-MIN(($F$18/2-0.35*$C$13),$F$281)^2/2)-IF(ABS($I$68)/$F$68&lt;=$F$18/6+0.000001,12*$F$68*ABS($I$68)/$F$68/($E$18*$F$18^3),$G$281/$F$281)*(($F$18/2-0.35*$C$13)*MIN(($F$18/2-0.35*$C$13),$F$281)^2/2-MIN(($F$18/2-0.35*$C$13),$F$281)^3/3)))-1*($E$7*$G$18+$I$7*MAX($G$7-$G$18,0))*$E$18*($F$18/2-0.35*$C$13)^2/2</f>
        <v>37.945541697971485</v>
      </c>
      <c r="I281" s="14">
        <f>MAX($H$281,0)/($E$18*$J$18^2*$H$10*1000)</f>
        <v>2.9053821261710118E-3</v>
      </c>
      <c r="J281" s="3">
        <f>IF($H$281&lt;=0,0,IF($I$281&gt;=0.5,"μ ≥ 0,5",10*$H$281/($J$18*(1-0.4*1.25*(1-SQRT(1-2*$I$281)))*$E$10)))</f>
        <v>1.8869149146316762</v>
      </c>
      <c r="K281" s="10">
        <f>MAX(N($E$281),N($J$281))</f>
        <v>1.8869149146316762</v>
      </c>
    </row>
    <row r="282" spans="2:11" x14ac:dyDescent="0.25">
      <c r="B282" s="7" t="s">
        <v>79</v>
      </c>
      <c r="C282" s="3">
        <f>$G$33+1.35*$J$55</f>
        <v>35.859375</v>
      </c>
      <c r="D282" s="5">
        <f>IF($C$282&gt;0,ABS($I$69)/$C$282,"—")</f>
        <v>0</v>
      </c>
      <c r="E282" s="3">
        <f>IF($C$282&lt;=0,"—",IF($D$282&lt;=$F$18/6+0.000001,10*$C$282*(1+3*$D$282/$F$18)*($F$18-$C$13)/(8*$J$18*$E$10),"—"))</f>
        <v>0.50078871336625652</v>
      </c>
      <c r="F282" s="5">
        <f>IF($F$69&lt;=0,0,IF(ABS($I$69)/$F$69&lt;=$F$18/6+0.000001,$F$18,3*($F$18/2-ABS($I$69)/$F$69)))</f>
        <v>2.75</v>
      </c>
      <c r="G282" s="13">
        <f>IF($F$69&lt;=0,0,IF(ABS($I$69)/$F$69&lt;=$F$18/6+0.000001,$F$69/($F$18*$E$18)*(1+6*ABS($I$69)/$F$69/$F$18),2*$F$69/($E$18*$F$282)))</f>
        <v>46.651425619834711</v>
      </c>
      <c r="H282" s="3">
        <f>IF($F$69&lt;=0,0,$E$18*($G$282*(($F$18/2-0.35*$C$13)*MIN(($F$18/2-0.35*$C$13),$F$282)-MIN(($F$18/2-0.35*$C$13),$F$282)^2/2)-IF(ABS($I$69)/$F$69&lt;=$F$18/6+0.000001,12*$F$69*ABS($I$69)/$F$69/($E$18*$F$18^3),$G$282/$F$282)*(($F$18/2-0.35*$C$13)*MIN(($F$18/2-0.35*$C$13),$F$282)^2/2-MIN(($F$18/2-0.35*$C$13),$F$282)^3/3)))-1.35*($E$7*$G$18+$I$7*MAX($G$7-$G$18,0))*$E$18*($F$18/2-0.35*$C$13)^2/2</f>
        <v>8.0366727272727161</v>
      </c>
      <c r="I282" s="14">
        <f>MAX($H$282,0)/($E$18*$J$18^2*$H$10*1000)</f>
        <v>6.1534515652868975E-4</v>
      </c>
      <c r="J282" s="3">
        <f>IF($H$282&lt;=0,0,IF($I$282&gt;=0.5,"μ ≥ 0,5",10*$H$282/($J$18*(1-0.4*1.25*(1-SQRT(1-2*$I$282)))*$E$10)))</f>
        <v>0.39918043829339828</v>
      </c>
      <c r="K282" s="10">
        <f>MAX(N($E$282),N($J$282))</f>
        <v>0.50078871336625652</v>
      </c>
    </row>
    <row r="283" spans="2:11" x14ac:dyDescent="0.25">
      <c r="B283" s="7" t="s">
        <v>80</v>
      </c>
      <c r="C283" s="3">
        <f>$G$34+1.35*$J$55</f>
        <v>110.109375</v>
      </c>
      <c r="D283" s="5">
        <f>IF($C$283&gt;0,ABS($I$70)/$C$283,"—")</f>
        <v>0.61915708812260539</v>
      </c>
      <c r="E283" s="3" t="str">
        <f>IF($C$283&lt;=0,"—",IF($D$283&lt;=$F$18/6+0.000001,10*$C$283*(1+3*$D$283/$F$18)*($F$18-$C$13)/(8*$J$18*$E$10),"—"))</f>
        <v>—</v>
      </c>
      <c r="F283" s="5">
        <f>IF($F$70&lt;=0,0,IF(ABS($I$70)/$F$70&lt;=$F$18/6+0.000001,$F$18,3*($F$18/2-ABS($I$70)/$F$70)))</f>
        <v>2.75</v>
      </c>
      <c r="G283" s="13">
        <f>IF($F$70&lt;=0,0,IF(ABS($I$70)/$F$70&lt;=$F$18/6+0.000001,$F$70/($F$18*$E$18)*(1+6*ABS($I$70)/$F$70/$F$18),2*$F$70/($E$18*$F$283)))</f>
        <v>76.138427873779108</v>
      </c>
      <c r="H283" s="3">
        <f>IF($F$70&lt;=0,0,$E$18*($G$283*(($F$18/2-0.35*$C$13)*MIN(($F$18/2-0.35*$C$13),$F$283)-MIN(($F$18/2-0.35*$C$13),$F$283)^2/2)-IF(ABS($I$70)/$F$70&lt;=$F$18/6+0.000001,12*$F$70*ABS($I$70)/$F$70/($E$18*$F$18^3),$G$283/$F$283)*(($F$18/2-0.35*$C$13)*MIN(($F$18/2-0.35*$C$13),$F$283)^2/2-MIN(($F$18/2-0.35*$C$13),$F$283)^3/3)))-1.35*($E$7*$G$18+$I$7*MAX($G$7-$G$18,0))*$E$18*($F$18/2-0.35*$C$13)^2/2</f>
        <v>55.091696619083379</v>
      </c>
      <c r="I283" s="14">
        <f>MAX($H$283,0)/($E$18*$J$18^2*$H$10*1000)</f>
        <v>4.218214406623625E-3</v>
      </c>
      <c r="J283" s="3">
        <f>IF($H$283&lt;=0,0,IF($I$283&gt;=0.5,"μ ≥ 0,5",10*$H$283/($J$18*(1-0.4*1.25*(1-SQRT(1-2*$I$283)))*$E$10)))</f>
        <v>2.7413489288531334</v>
      </c>
      <c r="K283" s="10">
        <f>MAX(N($E$283),N($J$283))</f>
        <v>2.7413489288531334</v>
      </c>
    </row>
    <row r="284" spans="2:11" x14ac:dyDescent="0.25">
      <c r="B284" s="7" t="s">
        <v>81</v>
      </c>
      <c r="C284" s="3">
        <f>$G$35+1.35*$J$55</f>
        <v>49.359375</v>
      </c>
      <c r="D284" s="5">
        <f>IF($C$284&gt;0,ABS($I$71)/$C$284,"—")</f>
        <v>0</v>
      </c>
      <c r="E284" s="3">
        <f>IF($C$284&lt;=0,"—",IF($D$284&lt;=$F$18/6+0.000001,10*$C$284*(1+3*$D$284/$F$18)*($F$18-$C$13)/(8*$J$18*$E$10),"—"))</f>
        <v>0.68932093486884727</v>
      </c>
      <c r="F284" s="5">
        <f>IF($F$71&lt;=0,0,IF(ABS($I$71)/$F$71&lt;=$F$18/6+0.000001,$F$18,3*($F$18/2-ABS($I$71)/$F$71)))</f>
        <v>2.75</v>
      </c>
      <c r="G284" s="13">
        <f>IF($F$71&lt;=0,0,IF(ABS($I$71)/$F$71&lt;=$F$18/6+0.000001,$F$71/($F$18*$E$18)*(1+6*ABS($I$71)/$F$71/$F$18),2*$F$71/($E$18*$F$284)))</f>
        <v>48.436549586776863</v>
      </c>
      <c r="H284" s="3">
        <f>IF($F$71&lt;=0,0,$E$18*($G$284*(($F$18/2-0.35*$C$13)*MIN(($F$18/2-0.35*$C$13),$F$284)-MIN(($F$18/2-0.35*$C$13),$F$284)^2/2)-IF(ABS($I$71)/$F$71&lt;=$F$18/6+0.000001,12*$F$71*ABS($I$71)/$F$71/($E$18*$F$18^3),$G$284/$F$284)*(($F$18/2-0.35*$C$13)*MIN(($F$18/2-0.35*$C$13),$F$284)^2/2-MIN(($F$18/2-0.35*$C$13),$F$284)^3/3)))-1.35*($E$7*$G$18+$I$7*MAX($G$7-$G$18,0))*$E$18*($F$18/2-0.35*$C$13)^2/2</f>
        <v>11.571218181818196</v>
      </c>
      <c r="I284" s="14">
        <f>MAX($H$284,0)/($E$18*$J$18^2*$H$10*1000)</f>
        <v>8.8597524186291511E-4</v>
      </c>
      <c r="J284" s="3">
        <f>IF($H$284&lt;=0,0,IF($I$284&gt;=0.5,"μ ≥ 0,5",10*$H$284/($J$18*(1-0.4*1.25*(1-SQRT(1-2*$I$284)))*$E$10)))</f>
        <v>0.57481869300076915</v>
      </c>
      <c r="K284" s="10">
        <f>MAX(N($E$284),N($J$284))</f>
        <v>0.68932093486884727</v>
      </c>
    </row>
    <row r="285" spans="2:11" x14ac:dyDescent="0.25">
      <c r="B285" s="7" t="s">
        <v>82</v>
      </c>
      <c r="C285" s="3">
        <f>$G$36+1.35*$J$55</f>
        <v>123.609375</v>
      </c>
      <c r="D285" s="5">
        <f>IF($C$285&gt;0,ABS($I$72)/$C$285,"—")</f>
        <v>0.55153583617747437</v>
      </c>
      <c r="E285" s="3" t="str">
        <f>IF($C$285&lt;=0,"—",IF($D$285&lt;=$F$18/6+0.000001,10*$C$285*(1+3*$D$285/$F$18)*($F$18-$C$13)/(8*$J$18*$E$10),"—"))</f>
        <v>—</v>
      </c>
      <c r="F285" s="5">
        <f>IF($F$72&lt;=0,0,IF(ABS($I$72)/$F$72&lt;=$F$18/6+0.000001,$F$18,3*($F$18/2-ABS($I$72)/$F$72)))</f>
        <v>2.75</v>
      </c>
      <c r="G285" s="13">
        <f>IF($F$72&lt;=0,0,IF(ABS($I$72)/$F$72&lt;=$F$18/6+0.000001,$F$72/($F$18*$E$18)*(1+6*ABS($I$72)/$F$72/$F$18),2*$F$72/($E$18*$F$285)))</f>
        <v>77.92355184072126</v>
      </c>
      <c r="H285" s="3">
        <f>IF($F$72&lt;=0,0,$E$18*($G$285*(($F$18/2-0.35*$C$13)*MIN(($F$18/2-0.35*$C$13),$F$285)-MIN(($F$18/2-0.35*$C$13),$F$285)^2/2)-IF(ABS($I$72)/$F$72&lt;=$F$18/6+0.000001,12*$F$72*ABS($I$72)/$F$72/($E$18*$F$18^3),$G$285/$F$285)*(($F$18/2-0.35*$C$13)*MIN(($F$18/2-0.35*$C$13),$F$285)^2/2-MIN(($F$18/2-0.35*$C$13),$F$285)^3/3)))-1.35*($E$7*$G$18+$I$7*MAX($G$7-$G$18,0))*$E$18*($F$18/2-0.35*$C$13)^2/2</f>
        <v>58.626242073628831</v>
      </c>
      <c r="I285" s="14">
        <f>MAX($H$285,0)/($E$18*$J$18^2*$H$10*1000)</f>
        <v>4.4888444919578482E-3</v>
      </c>
      <c r="J285" s="3">
        <f>IF($H$285&lt;=0,0,IF($I$285&gt;=0.5,"μ ≥ 0,5",10*$H$285/($J$18*(1-0.4*1.25*(1-SQRT(1-2*$I$285)))*$E$10)))</f>
        <v>2.9176243876212609</v>
      </c>
      <c r="K285" s="10">
        <f>MAX(N($E$285),N($J$285))</f>
        <v>2.9176243876212609</v>
      </c>
    </row>
    <row r="286" spans="2:11" x14ac:dyDescent="0.25">
      <c r="B286" s="7" t="s">
        <v>83</v>
      </c>
      <c r="C286" s="3">
        <f>$G$37+1*$J$55</f>
        <v>121.5625</v>
      </c>
      <c r="D286" s="5">
        <f>IF($C$286&gt;0,ABS($I$73)/$C$286,"—")</f>
        <v>0</v>
      </c>
      <c r="E286" s="3">
        <f>IF($C$286&lt;=0,"—",IF($D$286&lt;=$F$18/6+0.000001,10*$C$286*(1+3*$D$286/$F$18)*($F$18-$C$13)/(8*$J$18*$G$10),"—"))</f>
        <v>2.9285407164624959</v>
      </c>
      <c r="F286" s="5">
        <f>IF($F$73&lt;=0,0,IF(ABS($I$73)/$F$73&lt;=$F$18/6+0.000001,$F$18,3*($F$18/2-ABS($I$73)/$F$73)))</f>
        <v>2.75</v>
      </c>
      <c r="G286" s="13">
        <f>IF($F$73&lt;=0,0,IF(ABS($I$73)/$F$73&lt;=$F$18/6+0.000001,$F$73/($F$18*$E$18)*(1+6*ABS($I$73)/$F$73/$F$18),2*$F$73/($E$18*$F$286)))</f>
        <v>47.118595041322315</v>
      </c>
      <c r="H286" s="3">
        <f>IF($F$73&lt;=0,0,$E$18*($G$286*(($F$18/2-0.35*$C$13)*MIN(($F$18/2-0.35*$C$13),$F$286)-MIN(($F$18/2-0.35*$C$13),$F$286)^2/2)-IF(ABS($I$73)/$F$73&lt;=$F$18/6+0.000001,12*$F$73*ABS($I$73)/$F$73/($E$18*$F$18^3),$G$286/$F$286)*(($F$18/2-0.35*$C$13)*MIN(($F$18/2-0.35*$C$13),$F$286)^2/2-MIN(($F$18/2-0.35*$C$13),$F$286)^3/3)))-1*($E$7*$G$18+$I$7*MAX($G$7-$G$18,0))*$E$18*($F$18/2-0.35*$C$13)^2/2</f>
        <v>30.8258181818182</v>
      </c>
      <c r="I286" s="14">
        <f>MAX($H$286,0)/($E$18*$J$18^2*$G$10*1000)</f>
        <v>1.6582975815608908E-4</v>
      </c>
      <c r="J286" s="3">
        <f>IF($H$286&lt;=0,0,10*$H$286/($J$18*(1-(1+2*SQRT((3+90*$I$286)/3)*COS(ACOS((3/(3+90*$I$286))*SQRT(3/(3+90*$I$286)))/3-2*PI()/3))/3)*$G$10))</f>
        <v>2.7024510569079503</v>
      </c>
      <c r="K286" s="10">
        <f>MAX(N($E$286),N($J$286))</f>
        <v>2.9285407164624959</v>
      </c>
    </row>
    <row r="287" spans="2:11" x14ac:dyDescent="0.25">
      <c r="B287" s="7" t="s">
        <v>85</v>
      </c>
      <c r="C287" s="3">
        <f>$G$38+1*$J$55</f>
        <v>131.5625</v>
      </c>
      <c r="D287" s="5">
        <f>IF($C$287&gt;0,ABS($I$74)/$C$287,"—")</f>
        <v>0</v>
      </c>
      <c r="E287" s="3">
        <f>IF($C$287&lt;=0,"—",IF($D$287&lt;=$F$18/6+0.000001,10*$C$287*(1+3*$D$287/$F$18)*($F$18-$C$13)/(8*$J$18*$G$10),"—"))</f>
        <v>3.169448950207483</v>
      </c>
      <c r="F287" s="5">
        <f>IF($F$74&lt;=0,0,IF(ABS($I$74)/$F$74&lt;=$F$18/6+0.000001,$F$18,3*($F$18/2-ABS($I$74)/$F$74)))</f>
        <v>2.75</v>
      </c>
      <c r="G287" s="13">
        <f>IF($F$74&lt;=0,0,IF(ABS($I$74)/$F$74&lt;=$F$18/6+0.000001,$F$74/($F$18*$E$18)*(1+6*ABS($I$74)/$F$74/$F$18),2*$F$74/($E$18*$F$287)))</f>
        <v>48.440909090909095</v>
      </c>
      <c r="H287" s="3">
        <f>IF($F$74&lt;=0,0,$E$18*($G$287*(($F$18/2-0.35*$C$13)*MIN(($F$18/2-0.35*$C$13),$F$287)-MIN(($F$18/2-0.35*$C$13),$F$287)^2/2)-IF(ABS($I$74)/$F$74&lt;=$F$18/6+0.000001,12*$F$74*ABS($I$74)/$F$74/($E$18*$F$18^3),$G$287/$F$287)*(($F$18/2-0.35*$C$13)*MIN(($F$18/2-0.35*$C$13),$F$287)^2/2-MIN(($F$18/2-0.35*$C$13),$F$287)^3/3)))-1*($E$7*$G$18+$I$7*MAX($G$7-$G$18,0))*$E$18*($F$18/2-0.35*$C$13)^2/2</f>
        <v>33.444000000000024</v>
      </c>
      <c r="I287" s="14">
        <f>MAX($H$287,0)/($E$18*$J$18^2*$G$10*1000)</f>
        <v>1.7991445998482585E-4</v>
      </c>
      <c r="J287" s="3">
        <f>IF($H$287&lt;=0,0,10*$H$287/($J$18*(1-(1+2*SQRT((3+90*$I$287)/3)*COS(ACOS((3/(3+90*$I$287))*SQRT(3/(3+90*$I$287)))/3-2*PI()/3))/3)*$G$10))</f>
        <v>2.9347775026048195</v>
      </c>
      <c r="K287" s="10">
        <f>MAX(N($E$287),N($J$287))</f>
        <v>3.169448950207483</v>
      </c>
    </row>
    <row r="288" spans="2:11" x14ac:dyDescent="0.25">
      <c r="B288" s="7" t="s">
        <v>86</v>
      </c>
      <c r="C288" s="3">
        <f>$G$39+1*$J$55</f>
        <v>-3.4375</v>
      </c>
      <c r="D288" s="5" t="str">
        <f>IF($C$288&gt;0,ABS($I$75)/$C$288,"—")</f>
        <v>—</v>
      </c>
      <c r="E288" s="3" t="str">
        <f>IF($C$288&lt;=0,"—",IF($D$288&lt;=$F$18/6+0.000001,10*$C$288*(1+3*$D$288/$F$18)*($F$18-$C$13)/(8*$J$18*$G$10),"—"))</f>
        <v>—</v>
      </c>
      <c r="F288" s="5">
        <f>IF($F$75&lt;=0,0,IF(ABS($I$75)/$F$75&lt;=$F$18/6+0.000001,$F$18,3*($F$18/2-ABS($I$75)/$F$75)))</f>
        <v>2.75</v>
      </c>
      <c r="G288" s="13">
        <f>IF($F$75&lt;=0,0,IF(ABS($I$75)/$F$75&lt;=$F$18/6+0.000001,$F$75/($F$18*$E$18)*(1+6*ABS($I$75)/$F$75/$F$18),2*$F$75/($E$18*$F$288)))</f>
        <v>30.589669421487603</v>
      </c>
      <c r="H288" s="3">
        <f>IF($F$75&lt;=0,0,$E$18*($G$288*(($F$18/2-0.35*$C$13)*MIN(($F$18/2-0.35*$C$13),$F$288)-MIN(($F$18/2-0.35*$C$13),$F$288)^2/2)-IF(ABS($I$75)/$F$75&lt;=$F$18/6+0.000001,12*$F$75*ABS($I$75)/$F$75/($E$18*$F$18^3),$G$288/$F$288)*(($F$18/2-0.35*$C$13)*MIN(($F$18/2-0.35*$C$13),$F$288)^2/2-MIN(($F$18/2-0.35*$C$13),$F$288)^3/3)))-1*($E$7*$G$18+$I$7*MAX($G$7-$G$18,0))*$E$18*($F$18/2-0.35*$C$13)^2/2</f>
        <v>-1.9014545454545342</v>
      </c>
      <c r="I288" s="14">
        <f>MAX($H$288,0)/($E$18*$J$18^2*$G$10*1000)</f>
        <v>0</v>
      </c>
      <c r="J288" s="3">
        <f>IF($H$288&lt;=0,0,10*$H$288/($J$18*(1-(1+2*SQRT((3+90*$I$288)/3)*COS(ACOS((3/(3+90*$I$288))*SQRT(3/(3+90*$I$288)))/3-2*PI()/3))/3)*$G$10))</f>
        <v>0</v>
      </c>
      <c r="K288" s="10">
        <f>MAX(N($E$288),N($J$288))</f>
        <v>0</v>
      </c>
    </row>
    <row r="289" spans="2:11" x14ac:dyDescent="0.25">
      <c r="B289" s="7" t="s">
        <v>87</v>
      </c>
      <c r="C289" s="3">
        <f>$G$40+1*$J$55</f>
        <v>51.5625</v>
      </c>
      <c r="D289" s="5">
        <f>IF($C$289&gt;0,ABS($I$76)/$C$289,"—")</f>
        <v>0.97939393939393937</v>
      </c>
      <c r="E289" s="3" t="str">
        <f>IF($C$289&lt;=0,"—",IF($D$289&lt;=$F$18/6+0.000001,10*$C$289*(1+3*$D$289/$F$18)*($F$18-$C$13)/(8*$J$18*$G$10),"—"))</f>
        <v>—</v>
      </c>
      <c r="F289" s="5">
        <f>IF($F$76&lt;=0,0,IF(ABS($I$76)/$F$76&lt;=$F$18/6+0.000001,$F$18,3*($F$18/2-ABS($I$76)/$F$76)))</f>
        <v>2.75</v>
      </c>
      <c r="G289" s="13">
        <f>IF($F$76&lt;=0,0,IF(ABS($I$76)/$F$76&lt;=$F$18/6+0.000001,$F$76/($F$18*$E$18)*(1+6*ABS($I$76)/$F$76/$F$18),2*$F$76/($E$18*$F$289)))</f>
        <v>52.431893313298275</v>
      </c>
      <c r="H289" s="3">
        <f>IF($F$76&lt;=0,0,$E$18*($G$289*(($F$18/2-0.35*$C$13)*MIN(($F$18/2-0.35*$C$13),$F$289)-MIN(($F$18/2-0.35*$C$13),$F$289)^2/2)-IF(ABS($I$76)/$F$76&lt;=$F$18/6+0.000001,12*$F$76*ABS($I$76)/$F$76/($E$18*$F$18^3),$G$289/$F$289)*(($F$18/2-0.35*$C$13)*MIN(($F$18/2-0.35*$C$13),$F$289)^2/2-MIN(($F$18/2-0.35*$C$13),$F$289)^3/3)))-1*($E$7*$G$18+$I$7*MAX($G$7-$G$18,0))*$E$18*($F$18/2-0.35*$C$13)^2/2</f>
        <v>32.954118707738552</v>
      </c>
      <c r="I289" s="14">
        <f>MAX($H$289,0)/($E$18*$J$18^2*$G$10*1000)</f>
        <v>1.7727910751042411E-4</v>
      </c>
      <c r="J289" s="3">
        <f>IF($H$289&lt;=0,0,10*$H$289/($J$18*(1-(1+2*SQRT((3+90*$I$289)/3)*COS(ACOS((3/(3+90*$I$289))*SQRT(3/(3+90*$I$289)))/3-2*PI()/3))/3)*$G$10))</f>
        <v>2.8912826930946163</v>
      </c>
      <c r="K289" s="10">
        <f>MAX(N($E$289),N($J$289))</f>
        <v>2.8912826930946163</v>
      </c>
    </row>
    <row r="290" spans="2:11" x14ac:dyDescent="0.25">
      <c r="B290" s="7" t="s">
        <v>88</v>
      </c>
      <c r="C290" s="3">
        <f>$G$41+1*$J$55</f>
        <v>33.0625</v>
      </c>
      <c r="D290" s="5">
        <f>IF($C$290&gt;0,ABS($I$77)/$C$290,"—")</f>
        <v>0</v>
      </c>
      <c r="E290" s="3">
        <f>IF($C$290&lt;=0,"—",IF($D$290&lt;=$F$18/6+0.000001,10*$C$290*(1+3*$D$290/$F$18)*($F$18-$C$13)/(8*$J$18*$G$10),"—"))</f>
        <v>0.79650284781936265</v>
      </c>
      <c r="F290" s="5">
        <f>IF($F$77&lt;=0,0,IF(ABS($I$77)/$F$77&lt;=$F$18/6+0.000001,$F$18,3*($F$18/2-ABS($I$77)/$F$77)))</f>
        <v>2.75</v>
      </c>
      <c r="G290" s="13">
        <f>IF($F$77&lt;=0,0,IF(ABS($I$77)/$F$77&lt;=$F$18/6+0.000001,$F$77/($F$18*$E$18)*(1+6*ABS($I$77)/$F$77/$F$18),2*$F$77/($E$18*$F$290)))</f>
        <v>35.416115702479345</v>
      </c>
      <c r="H290" s="3">
        <f>IF($F$77&lt;=0,0,$E$18*($G$290*(($F$18/2-0.35*$C$13)*MIN(($F$18/2-0.35*$C$13),$F$290)-MIN(($F$18/2-0.35*$C$13),$F$290)^2/2)-IF(ABS($I$77)/$F$77&lt;=$F$18/6+0.000001,12*$F$77*ABS($I$77)/$F$77/($E$18*$F$18^3),$G$290/$F$290)*(($F$18/2-0.35*$C$13)*MIN(($F$18/2-0.35*$C$13),$F$290)^2/2-MIN(($F$18/2-0.35*$C$13),$F$290)^3/3)))-1*($E$7*$G$18+$I$7*MAX($G$7-$G$18,0))*$E$18*($F$18/2-0.35*$C$13)^2/2</f>
        <v>7.654909090909122</v>
      </c>
      <c r="I290" s="14">
        <f>MAX($H$290,0)/($E$18*$J$18^2*$G$10*1000)</f>
        <v>4.1180146971769162E-5</v>
      </c>
      <c r="J290" s="3">
        <f>IF($H$290&lt;=0,0,10*$H$290/($J$18*(1-(1+2*SQRT((3+90*$I$290)/3)*COS(ACOS((3/(3+90*$I$290))*SQRT(3/(3+90*$I$290)))/3-2*PI()/3))/3)*$G$10))</f>
        <v>0.66337144098425382</v>
      </c>
      <c r="K290" s="10">
        <f>MAX(N($E$290),N($J$290))</f>
        <v>0.79650284781936265</v>
      </c>
    </row>
    <row r="291" spans="2:11" x14ac:dyDescent="0.25">
      <c r="B291" s="7" t="s">
        <v>89</v>
      </c>
      <c r="C291" s="3">
        <f>$G$42+1*$J$55</f>
        <v>82.5625</v>
      </c>
      <c r="D291" s="5">
        <f>IF($C$291&gt;0,ABS($I$78)/$C$291,"—")</f>
        <v>0.55049205147615443</v>
      </c>
      <c r="E291" s="3" t="str">
        <f>IF($C$291&lt;=0,"—",IF($D$291&lt;=$F$18/6+0.000001,10*$C$291*(1+3*$D$291/$F$18)*($F$18-$C$13)/(8*$J$18*$G$10),"—"))</f>
        <v>—</v>
      </c>
      <c r="F291" s="5">
        <f>IF($F$78&lt;=0,0,IF(ABS($I$78)/$F$78&lt;=$F$18/6+0.000001,$F$18,3*($F$18/2-ABS($I$78)/$F$78)))</f>
        <v>2.75</v>
      </c>
      <c r="G291" s="13">
        <f>IF($F$78&lt;=0,0,IF(ABS($I$78)/$F$78&lt;=$F$18/6+0.000001,$F$78/($F$18*$E$18)*(1+6*ABS($I$78)/$F$78/$F$18),2*$F$78/($E$18*$F$291)))</f>
        <v>55.074117205108941</v>
      </c>
      <c r="H291" s="3">
        <f>IF($F$78&lt;=0,0,$E$18*($G$291*(($F$18/2-0.35*$C$13)*MIN(($F$18/2-0.35*$C$13),$F$291)-MIN(($F$18/2-0.35*$C$13),$F$291)^2/2)-IF(ABS($I$78)/$F$78&lt;=$F$18/6+0.000001,12*$F$78*ABS($I$78)/$F$78/($E$18*$F$18^3),$G$291/$F$291)*(($F$18/2-0.35*$C$13)*MIN(($F$18/2-0.35*$C$13),$F$291)^2/2-MIN(($F$18/2-0.35*$C$13),$F$291)^3/3)))-1*($E$7*$G$18+$I$7*MAX($G$7-$G$18,0))*$E$18*($F$18/2-0.35*$C$13)^2/2</f>
        <v>39.024925018782874</v>
      </c>
      <c r="I291" s="14">
        <f>MAX($H$291,0)/($E$18*$J$18^2*$G$10*1000)</f>
        <v>2.0993745696395872E-4</v>
      </c>
      <c r="J291" s="3">
        <f>IF($H$291&lt;=0,0,10*$H$291/($J$18*(1-(1+2*SQRT((3+90*$I$291)/3)*COS(ACOS((3/(3+90*$I$291))*SQRT(3/(3+90*$I$291)))/3-2*PI()/3))/3)*$G$10))</f>
        <v>3.4310619832686471</v>
      </c>
      <c r="K291" s="10">
        <f>MAX(N($E$291),N($J$291))</f>
        <v>3.4310619832686471</v>
      </c>
    </row>
    <row r="292" spans="2:11" ht="28.5" x14ac:dyDescent="0.25">
      <c r="B292" s="7" t="s">
        <v>90</v>
      </c>
      <c r="C292" s="3">
        <f>$G$43+1*$J$55</f>
        <v>145.20249999999999</v>
      </c>
      <c r="D292" s="5">
        <f>IF($C$292&gt;0,ABS($I$79)/$C$292,"—")</f>
        <v>6.9916151581412178E-2</v>
      </c>
      <c r="E292" s="3">
        <f>IF($C$292&lt;=0,"—",IF($D$292&lt;=$F$18/6+0.000001,10*$C$292*(1+3*$D$292/$F$18)*($F$18-$C$13)/(8*$J$18*$F$10),"—"))</f>
        <v>1.8977988474446537</v>
      </c>
      <c r="F292" s="5">
        <f>IF($F$79&lt;=0,0,IF(ABS($I$79)/$F$79&lt;=$F$18/6+0.000001,$F$18,3*($F$18/2-ABS($I$79)/$F$79)))</f>
        <v>2.75</v>
      </c>
      <c r="G292" s="13">
        <f>IF($F$79&lt;=0,0,IF(ABS($I$79)/$F$79&lt;=$F$18/6+0.000001,$F$79/($F$18*$E$18)*(1+6*ABS($I$79)/$F$79/$F$18),2*$F$79/($E$18*$F$292)))</f>
        <v>53.173447032306534</v>
      </c>
      <c r="H292" s="3">
        <f>IF($F$79&lt;=0,0,$E$18*($G$292*(($F$18/2-0.35*$C$13)*MIN(($F$18/2-0.35*$C$13),$F$292)-MIN(($F$18/2-0.35*$C$13),$F$292)^2/2)-IF(ABS($I$79)/$F$79&lt;=$F$18/6+0.000001,12*$F$79*ABS($I$79)/$F$79/($E$18*$F$18^3),$G$292/$F$292)*(($F$18/2-0.35*$C$13)*MIN(($F$18/2-0.35*$C$13),$F$292)^2/2-MIN(($F$18/2-0.35*$C$13),$F$292)^3/3)))-1*($E$7*$G$18+$I$7*MAX($G$7-$G$18,0))*$E$18*($F$18/2-0.35*$C$13)^2/2</f>
        <v>41.127377815176551</v>
      </c>
      <c r="I292" s="14">
        <f>MAX($H$292,0)/($E$18*$J$18^2*$I$10*1000)</f>
        <v>2.5192050091488649E-3</v>
      </c>
      <c r="J292" s="3">
        <f>IF($H$292&lt;=0,0,IF($I$292&gt;=0.5,"μ ≥ 0,5",10*$H$292/($J$18*(1-0.4*1.25*(1-SQRT(1-2*$I$292)))*$F$10)))</f>
        <v>1.7780359620451358</v>
      </c>
      <c r="K292" s="10">
        <f>MAX(N($E$292),N($J$292))</f>
        <v>1.8977988474446537</v>
      </c>
    </row>
    <row r="293" spans="2:11" ht="28.5" x14ac:dyDescent="0.25">
      <c r="B293" s="7" t="s">
        <v>92</v>
      </c>
      <c r="C293" s="3">
        <f>$G$44+1*$J$55</f>
        <v>127.9225</v>
      </c>
      <c r="D293" s="5">
        <f>IF($C$293&gt;0,ABS($I$80)/$C$293,"—")</f>
        <v>7.9360550333209573E-2</v>
      </c>
      <c r="E293" s="3">
        <f>IF($C$293&lt;=0,"—",IF($D$293&lt;=$F$18/6+0.000001,10*$C$293*(1+3*$D$293/$F$18)*($F$18-$C$13)/(8*$J$18*$F$10),"—"))</f>
        <v>1.6879542878591616</v>
      </c>
      <c r="F293" s="5">
        <f>IF($F$80&lt;=0,0,IF(ABS($I$80)/$F$80&lt;=$F$18/6+0.000001,$F$18,3*($F$18/2-ABS($I$80)/$F$80)))</f>
        <v>2.75</v>
      </c>
      <c r="G293" s="13">
        <f>IF($F$80&lt;=0,0,IF(ABS($I$80)/$F$80&lt;=$F$18/6+0.000001,$F$80/($F$18*$E$18)*(1+6*ABS($I$80)/$F$80/$F$18),2*$F$80/($E$18*$F$293)))</f>
        <v>50.888488354620577</v>
      </c>
      <c r="H293" s="3">
        <f>IF($F$80&lt;=0,0,$E$18*($G$293*(($F$18/2-0.35*$C$13)*MIN(($F$18/2-0.35*$C$13),$F$293)-MIN(($F$18/2-0.35*$C$13),$F$293)^2/2)-IF(ABS($I$80)/$F$80&lt;=$F$18/6+0.000001,12*$F$80*ABS($I$80)/$F$80/($E$18*$F$18^3),$G$293/$F$293)*(($F$18/2-0.35*$C$13)*MIN(($F$18/2-0.35*$C$13),$F$293)^2/2-MIN(($F$18/2-0.35*$C$13),$F$293)^3/3)))-1*($E$7*$G$18+$I$7*MAX($G$7-$G$18,0))*$E$18*($F$18/2-0.35*$C$13)^2/2</f>
        <v>36.603159633358366</v>
      </c>
      <c r="I293" s="14">
        <f>MAX($H$293,0)/($E$18*$J$18^2*$I$10*1000)</f>
        <v>2.2420798017666198E-3</v>
      </c>
      <c r="J293" s="3">
        <f>IF($H$293&lt;=0,0,IF($I$293&gt;=0.5,"μ ≥ 0,5",10*$H$293/($J$18*(1-0.4*1.25*(1-SQRT(1-2*$I$293)))*$F$10)))</f>
        <v>1.5822230351930038</v>
      </c>
      <c r="K293" s="10">
        <f>MAX(N($E$293),N($J$293))</f>
        <v>1.6879542878591616</v>
      </c>
    </row>
    <row r="294" spans="2:11" ht="28.5" x14ac:dyDescent="0.25">
      <c r="B294" s="7" t="s">
        <v>93</v>
      </c>
      <c r="C294" s="3">
        <f>$G$45+1*$J$55</f>
        <v>140.16249999999999</v>
      </c>
      <c r="D294" s="5">
        <f>IF($C$294&gt;0,ABS($I$81)/$C$294,"—")</f>
        <v>0.2414340497636672</v>
      </c>
      <c r="E294" s="3">
        <f>IF($C$294&lt;=0,"—",IF($D$294&lt;=$F$18/6+0.000001,10*$C$294*(1+3*$D$294/$F$18)*($F$18-$C$13)/(8*$J$18*$F$10),"—"))</f>
        <v>2.1504071847032504</v>
      </c>
      <c r="F294" s="5">
        <f>IF($F$81&lt;=0,0,IF(ABS($I$81)/$F$81&lt;=$F$18/6+0.000001,$F$18,3*($F$18/2-ABS($I$81)/$F$81)))</f>
        <v>2.75</v>
      </c>
      <c r="G294" s="13">
        <f>IF($F$81&lt;=0,0,IF(ABS($I$81)/$F$81&lt;=$F$18/6+0.000001,$F$81/($F$18*$E$18)*(1+6*ABS($I$81)/$F$81/$F$18),2*$F$81/($E$18*$F$294)))</f>
        <v>59.341104432757319</v>
      </c>
      <c r="H294" s="3">
        <f>IF($F$81&lt;=0,0,$E$18*($G$294*(($F$18/2-0.35*$C$13)*MIN(($F$18/2-0.35*$C$13),$F$294)-MIN(($F$18/2-0.35*$C$13),$F$294)^2/2)-IF(ABS($I$81)/$F$81&lt;=$F$18/6+0.000001,12*$F$81*ABS($I$81)/$F$81/($E$18*$F$18^3),$G$294/$F$294)*(($F$18/2-0.35*$C$13)*MIN(($F$18/2-0.35*$C$13),$F$294)^2/2-MIN(($F$18/2-0.35*$C$13),$F$294)^3/3)))-1*($E$7*$G$18+$I$7*MAX($G$7-$G$18,0))*$E$18*($F$18/2-0.35*$C$13)^2/2</f>
        <v>49.40289574755824</v>
      </c>
      <c r="I294" s="14">
        <f>MAX($H$294,0)/($E$18*$J$18^2*$I$10*1000)</f>
        <v>3.0261112924097472E-3</v>
      </c>
      <c r="J294" s="3">
        <f>IF($H$294&lt;=0,0,IF($I$294&gt;=0.5,"μ ≥ 0,5",10*$H$294/($J$18*(1-0.4*1.25*(1-SQRT(1-2*$I$294)))*$F$10)))</f>
        <v>2.1363502649816182</v>
      </c>
      <c r="K294" s="10">
        <f>MAX(N($E$294),N($J$294))</f>
        <v>2.1504071847032504</v>
      </c>
    </row>
    <row r="295" spans="2:11" ht="28.5" x14ac:dyDescent="0.25">
      <c r="B295" s="7" t="s">
        <v>94</v>
      </c>
      <c r="C295" s="3">
        <f>$G$46+1*$J$55</f>
        <v>82.5625</v>
      </c>
      <c r="D295" s="5">
        <f>IF($C$295&gt;0,ABS($I$82)/$C$295,"—")</f>
        <v>0.40987130961392887</v>
      </c>
      <c r="E295" s="3">
        <f>IF($C$295&lt;=0,"—",IF($D$295&lt;=$F$18/6+0.000001,10*$C$295*(1+3*$D$295/$F$18)*($F$18-$C$13)/(8*$J$18*$F$10),"—"))</f>
        <v>1.4509253194182763</v>
      </c>
      <c r="F295" s="5">
        <f>IF($F$82&lt;=0,0,IF(ABS($I$82)/$F$82&lt;=$F$18/6+0.000001,$F$18,3*($F$18/2-ABS($I$82)/$F$82)))</f>
        <v>2.75</v>
      </c>
      <c r="G295" s="13">
        <f>IF($F$82&lt;=0,0,IF(ABS($I$82)/$F$82&lt;=$F$18/6+0.000001,$F$82/($F$18*$E$18)*(1+6*ABS($I$82)/$F$82/$F$18),2*$F$82/($E$18*$F$295)))</f>
        <v>51.724575507137494</v>
      </c>
      <c r="H295" s="3">
        <f>IF($F$82&lt;=0,0,$E$18*($G$295*(($F$18/2-0.35*$C$13)*MIN(($F$18/2-0.35*$C$13),$F$295)-MIN(($F$18/2-0.35*$C$13),$F$295)^2/2)-IF(ABS($I$82)/$F$82&lt;=$F$18/6+0.000001,12*$F$82*ABS($I$82)/$F$82/($E$18*$F$18^3),$G$295/$F$295)*(($F$18/2-0.35*$C$13)*MIN(($F$18/2-0.35*$C$13),$F$295)^2/2-MIN(($F$18/2-0.35*$C$13),$F$295)^3/3)))-1*($E$7*$G$18+$I$7*MAX($G$7-$G$18,0))*$E$18*($F$18/2-0.35*$C$13)^2/2</f>
        <v>34.322168474830967</v>
      </c>
      <c r="I295" s="14">
        <f>MAX($H$295,0)/($E$18*$J$18^2*$I$10*1000)</f>
        <v>2.1023606011355976E-3</v>
      </c>
      <c r="J295" s="3">
        <f>IF($H$295&lt;=0,0,IF($I$295&gt;=0.5,"μ ≥ 0,5",10*$H$295/($J$18*(1-0.4*1.25*(1-SQRT(1-2*$I$295)))*$F$10)))</f>
        <v>1.4835200048681279</v>
      </c>
      <c r="K295" s="10">
        <f>MAX(N($E$295),N($J$295))</f>
        <v>1.4835200048681279</v>
      </c>
    </row>
    <row r="296" spans="2:11" ht="28.5" x14ac:dyDescent="0.25">
      <c r="B296" s="7" t="s">
        <v>95</v>
      </c>
      <c r="C296" s="3">
        <f>$G$47+1*$J$55</f>
        <v>55.922499999999999</v>
      </c>
      <c r="D296" s="5">
        <f>IF($C$296&gt;0,ABS($I$83)/$C$296,"—")</f>
        <v>0.18153694845545176</v>
      </c>
      <c r="E296" s="3">
        <f>IF($C$296&lt;=0,"—",IF($D$296&lt;=$F$18/6+0.000001,10*$C$296*(1+3*$D$296/$F$18)*($F$18-$C$13)/(8*$J$18*$F$10),"—"))</f>
        <v>0.81360195625294396</v>
      </c>
      <c r="F296" s="5">
        <f>IF($F$83&lt;=0,0,IF(ABS($I$83)/$F$83&lt;=$F$18/6+0.000001,$F$18,3*($F$18/2-ABS($I$83)/$F$83)))</f>
        <v>2.75</v>
      </c>
      <c r="G296" s="13">
        <f>IF($F$83&lt;=0,0,IF(ABS($I$83)/$F$83&lt;=$F$18/6+0.000001,$F$83/($F$18*$E$18)*(1+6*ABS($I$83)/$F$83/$F$18),2*$F$83/($E$18*$F$296)))</f>
        <v>41.367827197595794</v>
      </c>
      <c r="H296" s="3">
        <f>IF($F$83&lt;=0,0,$E$18*($G$296*(($F$18/2-0.35*$C$13)*MIN(($F$18/2-0.35*$C$13),$F$296)-MIN(($F$18/2-0.35*$C$13),$F$296)^2/2)-IF(ABS($I$83)/$F$83&lt;=$F$18/6+0.000001,12*$F$83*ABS($I$83)/$F$83/($E$18*$F$18^3),$G$296/$F$296)*(($F$18/2-0.35*$C$13)*MIN(($F$18/2-0.35*$C$13),$F$296)^2/2-MIN(($F$18/2-0.35*$C$13),$F$296)^3/3)))-1*($E$7*$G$18+$I$7*MAX($G$7-$G$18,0))*$E$18*($F$18/2-0.35*$C$13)^2/2</f>
        <v>17.75225054244931</v>
      </c>
      <c r="I296" s="14">
        <f>MAX($H$296,0)/($E$18*$J$18^2*$I$10*1000)</f>
        <v>1.0873914376739356E-3</v>
      </c>
      <c r="J296" s="3">
        <f>IF($H$296&lt;=0,0,IF($I$296&gt;=0.5,"μ ≥ 0,5",10*$H$296/($J$18*(1-0.4*1.25*(1-SQRT(1-2*$I$296)))*$F$10)))</f>
        <v>0.76692197213582158</v>
      </c>
      <c r="K296" s="10">
        <f>MAX(N($E$296),N($J$296))</f>
        <v>0.81360195625294396</v>
      </c>
    </row>
    <row r="297" spans="2:11" ht="28.5" x14ac:dyDescent="0.25">
      <c r="B297" s="7" t="s">
        <v>96</v>
      </c>
      <c r="C297" s="3">
        <f>$G$48+1*$J$55</f>
        <v>73.202500000000001</v>
      </c>
      <c r="D297" s="5">
        <f>IF($C$297&gt;0,ABS($I$84)/$C$297,"—")</f>
        <v>0.13868378812199039</v>
      </c>
      <c r="E297" s="3">
        <f>IF($C$297&lt;=0,"—",IF($D$297&lt;=$F$18/6+0.000001,10*$C$297*(1+3*$D$297/$F$18)*($F$18-$C$13)/(8*$J$18*$F$10),"—"))</f>
        <v>1.0234465158384363</v>
      </c>
      <c r="F297" s="5">
        <f>IF($F$84&lt;=0,0,IF(ABS($I$84)/$F$84&lt;=$F$18/6+0.000001,$F$18,3*($F$18/2-ABS($I$84)/$F$84)))</f>
        <v>2.75</v>
      </c>
      <c r="G297" s="13">
        <f>IF($F$84&lt;=0,0,IF(ABS($I$84)/$F$84&lt;=$F$18/6+0.000001,$F$84/($F$18*$E$18)*(1+6*ABS($I$84)/$F$84/$F$18),2*$F$84/($E$18*$F$297)))</f>
        <v>43.652785875281744</v>
      </c>
      <c r="H297" s="3">
        <f>IF($F$84&lt;=0,0,$E$18*($G$297*(($F$18/2-0.35*$C$13)*MIN(($F$18/2-0.35*$C$13),$F$297)-MIN(($F$18/2-0.35*$C$13),$F$297)^2/2)-IF(ABS($I$84)/$F$84&lt;=$F$18/6+0.000001,12*$F$84*ABS($I$84)/$F$84/($E$18*$F$18^3),$G$297/$F$297)*(($F$18/2-0.35*$C$13)*MIN(($F$18/2-0.35*$C$13),$F$297)^2/2-MIN(($F$18/2-0.35*$C$13),$F$297)^3/3)))-1*($E$7*$G$18+$I$7*MAX($G$7-$G$18,0))*$E$18*($F$18/2-0.35*$C$13)^2/2</f>
        <v>22.276468724267481</v>
      </c>
      <c r="I297" s="14">
        <f>MAX($H$297,0)/($E$18*$J$18^2*$I$10*1000)</f>
        <v>1.3645166450561796E-3</v>
      </c>
      <c r="J297" s="3">
        <f>IF($H$297&lt;=0,0,IF($I$297&gt;=0.5,"μ ≥ 0,5",10*$H$297/($J$18*(1-0.4*1.25*(1-SQRT(1-2*$I$297)))*$F$10)))</f>
        <v>0.96250810899105754</v>
      </c>
      <c r="K297" s="10">
        <f>MAX(N($E$297),N($J$297))</f>
        <v>1.0234465158384363</v>
      </c>
    </row>
    <row r="298" spans="2:11" ht="28.5" x14ac:dyDescent="0.25">
      <c r="B298" s="7" t="s">
        <v>97</v>
      </c>
      <c r="C298" s="3">
        <f>$G$49+1*$J$55</f>
        <v>60.962499999999999</v>
      </c>
      <c r="D298" s="5">
        <f>IF($C$298&gt;0,ABS($I$85)/$C$298,"—")</f>
        <v>0.55509534549928241</v>
      </c>
      <c r="E298" s="3" t="str">
        <f>IF($C$298&lt;=0,"—",IF($D$298&lt;=$F$18/6+0.000001,10*$C$298*(1+3*$D$298/$F$18)*($F$18-$C$13)/(8*$J$18*$F$10),"—"))</f>
        <v>—</v>
      </c>
      <c r="F298" s="5">
        <f>IF($F$85&lt;=0,0,IF(ABS($I$85)/$F$85&lt;=$F$18/6+0.000001,$F$18,3*($F$18/2-ABS($I$85)/$F$85)))</f>
        <v>2.75</v>
      </c>
      <c r="G298" s="13">
        <f>IF($F$85&lt;=0,0,IF(ABS($I$85)/$F$85&lt;=$F$18/6+0.000001,$F$85/($F$18*$E$18)*(1+6*ABS($I$85)/$F$85/$F$18),2*$F$85/($E$18*$F$298)))</f>
        <v>48.86837716003005</v>
      </c>
      <c r="H298" s="3">
        <f>IF($F$85&lt;=0,0,$E$18*($G$298*(($F$18/2-0.35*$C$13)*MIN(($F$18/2-0.35*$C$13),$F$298)-MIN(($F$18/2-0.35*$C$13),$F$298)^2/2)-IF(ABS($I$85)/$F$85&lt;=$F$18/6+0.000001,12*$F$85*ABS($I$85)/$F$85/($E$18*$F$18^3),$G$298/$F$298)*(($F$18/2-0.35*$C$13)*MIN(($F$18/2-0.35*$C$13),$F$298)^2/2-MIN(($F$18/2-0.35*$C$13),$F$298)^3/3)))-1*($E$7*$G$18+$I$7*MAX($G$7-$G$18,0))*$E$18*($F$18/2-0.35*$C$13)^2/2</f>
        <v>28.666895747558222</v>
      </c>
      <c r="I298" s="14">
        <f>MAX($H$298,0)/($E$18*$J$18^2*$I$10*1000)</f>
        <v>1.7559540919077907E-3</v>
      </c>
      <c r="J298" s="3">
        <f>IF($H$298&lt;=0,0,IF($I$298&gt;=0.5,"μ ≥ 0,5",10*$H$298/($J$18*(1-0.4*1.25*(1-SQRT(1-2*$I$298)))*$F$10)))</f>
        <v>1.2388648064179779</v>
      </c>
      <c r="K298" s="10">
        <f>MAX(N($E$298),N($J$298))</f>
        <v>1.2388648064179779</v>
      </c>
    </row>
    <row r="299" spans="2:11" ht="28.5" x14ac:dyDescent="0.25">
      <c r="B299" s="7" t="s">
        <v>98</v>
      </c>
      <c r="C299" s="3">
        <f>$G$50+1*$J$55</f>
        <v>118.5625</v>
      </c>
      <c r="D299" s="5">
        <f>IF($C$299&gt;0,ABS($I$86)/$C$299,"—")</f>
        <v>0.28541908276225625</v>
      </c>
      <c r="E299" s="3">
        <f>IF($C$299&lt;=0,"—",IF($D$299&lt;=$F$18/6+0.000001,10*$C$299*(1+3*$D$299/$F$18)*($F$18-$C$13)/(8*$J$18*$F$10),"—"))</f>
        <v>1.8881014852213851</v>
      </c>
      <c r="F299" s="5">
        <f>IF($F$86&lt;=0,0,IF(ABS($I$86)/$F$86&lt;=$F$18/6+0.000001,$F$18,3*($F$18/2-ABS($I$86)/$F$86)))</f>
        <v>2.75</v>
      </c>
      <c r="G299" s="13">
        <f>IF($F$86&lt;=0,0,IF(ABS($I$86)/$F$86&lt;=$F$18/6+0.000001,$F$86/($F$18*$E$18)*(1+6*ABS($I$86)/$F$86/$F$18),2*$F$86/($E$18*$F$299)))</f>
        <v>56.484906085649897</v>
      </c>
      <c r="H299" s="3">
        <f>IF($F$86&lt;=0,0,$E$18*($G$299*(($F$18/2-0.35*$C$13)*MIN(($F$18/2-0.35*$C$13),$F$299)-MIN(($F$18/2-0.35*$C$13),$F$299)^2/2)-IF(ABS($I$86)/$F$86&lt;=$F$18/6+0.000001,12*$F$86*ABS($I$86)/$F$86/($E$18*$F$18^3),$G$299/$F$299)*(($F$18/2-0.35*$C$13)*MIN(($F$18/2-0.35*$C$13),$F$299)^2/2-MIN(($F$18/2-0.35*$C$13),$F$299)^3/3)))-1*($E$7*$G$18+$I$7*MAX($G$7-$G$18,0))*$E$18*($F$18/2-0.35*$C$13)^2/2</f>
        <v>43.747623020285509</v>
      </c>
      <c r="I299" s="14">
        <f>MAX($H$299,0)/($E$18*$J$18^2*$I$10*1000)</f>
        <v>2.6797047831819409E-3</v>
      </c>
      <c r="J299" s="3">
        <f>IF($H$299&lt;=0,0,IF($I$299&gt;=0.5,"μ ≥ 0,5",10*$H$299/($J$18*(1-0.4*1.25*(1-SQRT(1-2*$I$299)))*$F$10)))</f>
        <v>1.891467874679776</v>
      </c>
      <c r="K299" s="10">
        <f>MAX(N($E$299),N($J$299))</f>
        <v>1.891467874679776</v>
      </c>
    </row>
    <row r="301" spans="2:11" ht="20.100000000000001" customHeight="1" x14ac:dyDescent="0.25">
      <c r="B301" s="17" t="s">
        <v>193</v>
      </c>
      <c r="C301" s="18"/>
      <c r="D301" s="18"/>
      <c r="E301" s="17" t="s">
        <v>101</v>
      </c>
      <c r="F301" s="18"/>
      <c r="G301" s="18"/>
      <c r="H301" s="18"/>
      <c r="I301" s="17" t="s">
        <v>194</v>
      </c>
      <c r="J301" s="18"/>
      <c r="K301" s="1" t="s">
        <v>49</v>
      </c>
    </row>
    <row r="302" spans="2:11" x14ac:dyDescent="0.25">
      <c r="B302" s="26" t="s">
        <v>195</v>
      </c>
      <c r="C302" s="23"/>
      <c r="D302" s="23"/>
      <c r="E302" s="32" t="s">
        <v>196</v>
      </c>
      <c r="F302" s="21"/>
      <c r="G302" s="21"/>
      <c r="H302" s="21"/>
      <c r="I302" s="20">
        <f>MAX($K$276:$K$299)</f>
        <v>3.4310619832686471</v>
      </c>
      <c r="J302" s="21"/>
      <c r="K302" s="6"/>
    </row>
    <row r="303" spans="2:11" x14ac:dyDescent="0.25">
      <c r="B303" s="26" t="s">
        <v>197</v>
      </c>
      <c r="C303" s="23"/>
      <c r="D303" s="23"/>
      <c r="E303" s="32" t="s">
        <v>215</v>
      </c>
      <c r="F303" s="21"/>
      <c r="G303" s="21"/>
      <c r="H303" s="21"/>
      <c r="I303" s="20">
        <f>0.23*$E$18*$J$18*$D$7/$B$7*10000</f>
        <v>19.226418750000001</v>
      </c>
      <c r="J303" s="21"/>
      <c r="K303" s="6"/>
    </row>
    <row r="304" spans="2:11" x14ac:dyDescent="0.25">
      <c r="B304" s="26" t="s">
        <v>199</v>
      </c>
      <c r="C304" s="23"/>
      <c r="D304" s="23"/>
      <c r="E304" s="32" t="s">
        <v>200</v>
      </c>
      <c r="F304" s="21"/>
      <c r="G304" s="21"/>
      <c r="H304" s="21"/>
      <c r="I304" s="15">
        <f>MAX($I$302,$I$303)</f>
        <v>19.226418750000001</v>
      </c>
      <c r="J304" s="16"/>
      <c r="K304" s="6"/>
    </row>
    <row r="305" spans="2:11" x14ac:dyDescent="0.25">
      <c r="B305" s="26" t="s">
        <v>201</v>
      </c>
      <c r="C305" s="23"/>
      <c r="D305" s="23"/>
      <c r="E305" s="32" t="s">
        <v>202</v>
      </c>
      <c r="F305" s="21"/>
      <c r="G305" s="21"/>
      <c r="H305" s="21"/>
      <c r="I305" s="37">
        <v>12</v>
      </c>
      <c r="J305" s="38"/>
      <c r="K305" s="6"/>
    </row>
    <row r="306" spans="2:11" x14ac:dyDescent="0.25">
      <c r="B306" s="26" t="s">
        <v>203</v>
      </c>
      <c r="C306" s="23"/>
      <c r="D306" s="23"/>
      <c r="E306" s="32" t="s">
        <v>202</v>
      </c>
      <c r="F306" s="21"/>
      <c r="G306" s="21"/>
      <c r="H306" s="21"/>
      <c r="I306" s="39">
        <v>0.16600000000000001</v>
      </c>
      <c r="J306" s="38"/>
      <c r="K306" s="6"/>
    </row>
    <row r="307" spans="2:11" x14ac:dyDescent="0.25">
      <c r="B307" s="26" t="s">
        <v>204</v>
      </c>
      <c r="C307" s="23"/>
      <c r="D307" s="23"/>
      <c r="E307" s="32" t="s">
        <v>216</v>
      </c>
      <c r="F307" s="21"/>
      <c r="G307" s="21"/>
      <c r="H307" s="21"/>
      <c r="I307" s="31">
        <f>MAX(CEILING(($E$18-2*$F$7)/$I$306-0.000000001,1)+1,2)</f>
        <v>17</v>
      </c>
      <c r="J307" s="21"/>
      <c r="K307" s="6"/>
    </row>
    <row r="308" spans="2:11" ht="15.75" x14ac:dyDescent="0.25">
      <c r="B308" s="26" t="s">
        <v>206</v>
      </c>
      <c r="C308" s="23"/>
      <c r="D308" s="23"/>
      <c r="E308" s="32" t="s">
        <v>207</v>
      </c>
      <c r="F308" s="21"/>
      <c r="G308" s="21"/>
      <c r="H308" s="21"/>
      <c r="I308" s="15">
        <f>$I$307*PI()*$I$305^2/400</f>
        <v>19.226547039969535</v>
      </c>
      <c r="J308" s="16"/>
      <c r="K308" s="9" t="str">
        <f>IF($I$308&gt;=$I$304-0.0001,"OK","NON OK")</f>
        <v>OK</v>
      </c>
    </row>
    <row r="309" spans="2:11" ht="15.75" x14ac:dyDescent="0.25">
      <c r="B309" s="26" t="s">
        <v>208</v>
      </c>
      <c r="C309" s="23"/>
      <c r="D309" s="23"/>
      <c r="E309" s="32" t="s">
        <v>209</v>
      </c>
      <c r="F309" s="21"/>
      <c r="G309" s="21"/>
      <c r="H309" s="21"/>
      <c r="I309" s="20">
        <f>MIN(2*$G$18,0.25)</f>
        <v>0.25</v>
      </c>
      <c r="J309" s="21"/>
      <c r="K309" s="9" t="str">
        <f>IF($I$306&lt;=$I$309+0.0001,"OK","NON OK")</f>
        <v>OK</v>
      </c>
    </row>
    <row r="310" spans="2:11" x14ac:dyDescent="0.25">
      <c r="B310" s="27" t="s">
        <v>217</v>
      </c>
      <c r="C310" s="18"/>
      <c r="D310" s="18"/>
      <c r="E310" s="40" t="str">
        <f>$I$307&amp;" HA"&amp;$I$305&amp;"  e = "&amp;TEXT($I$306*100,"0")&amp;" cm  (As = "&amp;TEXT($I$308,"0.00")&amp;" cm²)"</f>
        <v>17 HA12  e = 17 cm  (As = 19.23 cm²)</v>
      </c>
      <c r="F310" s="38"/>
      <c r="G310" s="38"/>
      <c r="H310" s="38"/>
      <c r="I310" s="38"/>
      <c r="J310" s="38"/>
      <c r="K310" s="38"/>
    </row>
    <row r="311" spans="2:11" ht="15" customHeight="1" x14ac:dyDescent="0.25">
      <c r="B311" s="24" t="s">
        <v>218</v>
      </c>
      <c r="C311" s="25"/>
      <c r="D311" s="25"/>
      <c r="E311" s="25"/>
      <c r="F311" s="25"/>
      <c r="G311" s="25"/>
      <c r="H311" s="25"/>
      <c r="I311" s="25"/>
      <c r="J311" s="25"/>
      <c r="K311" s="25"/>
    </row>
    <row r="313" spans="2:11" ht="30" customHeight="1" x14ac:dyDescent="0.25">
      <c r="B313" s="19" t="s">
        <v>219</v>
      </c>
      <c r="C313" s="18"/>
      <c r="D313" s="18"/>
      <c r="E313" s="40" t="str">
        <f>IF(COUNTIF($B$4:$K$312,"NON OK")=0,"SEMELLE VÉRIFIÉE","SEMELLE NON VÉRIFIÉE")&amp;" : A × B × H = "&amp;TEXT($E$18,"0.00")&amp;" × "&amp;TEXT($F$18,"0.00")&amp;" × "&amp;TEXT($G$18,"0.00")&amp;" m ; // A : "&amp;$I$267&amp;" HA"&amp;$I$265&amp;" e = "&amp;TEXT($I$266*100,"0")&amp;" cm"&amp;" ; // B : "&amp;$I$307&amp;" HA"&amp;$I$305&amp;" e = "&amp;TEXT($I$306*100,"0")&amp;" cm"</f>
        <v>SEMELLE VÉRIFIÉE : A × B × H = 2.75 × 2.75 × 0.65 m ; // A : 18 HA12 e = 16 cm ; // B : 17 HA12 e = 17 cm</v>
      </c>
      <c r="F313" s="38"/>
      <c r="G313" s="38"/>
      <c r="H313" s="38"/>
      <c r="I313" s="38"/>
      <c r="J313" s="38"/>
      <c r="K313" s="38"/>
    </row>
  </sheetData>
  <mergeCells count="312">
    <mergeCell ref="E313:K313"/>
    <mergeCell ref="B169:D169"/>
    <mergeCell ref="J54:K54"/>
    <mergeCell ref="J56:K56"/>
    <mergeCell ref="B192:C192"/>
    <mergeCell ref="B71:D71"/>
    <mergeCell ref="B307:D307"/>
    <mergeCell ref="B223:D223"/>
    <mergeCell ref="I309:J309"/>
    <mergeCell ref="B75:D75"/>
    <mergeCell ref="J22:K22"/>
    <mergeCell ref="F152:G152"/>
    <mergeCell ref="B31:D31"/>
    <mergeCell ref="E54:I54"/>
    <mergeCell ref="D23:E23"/>
    <mergeCell ref="B39:D39"/>
    <mergeCell ref="E56:I56"/>
    <mergeCell ref="B185:C185"/>
    <mergeCell ref="B212:K212"/>
    <mergeCell ref="B226:D226"/>
    <mergeCell ref="B49:D49"/>
    <mergeCell ref="B65:D65"/>
    <mergeCell ref="F163:G163"/>
    <mergeCell ref="B222:D222"/>
    <mergeCell ref="G210:H210"/>
    <mergeCell ref="B63:D63"/>
    <mergeCell ref="F165:G165"/>
    <mergeCell ref="B50:D50"/>
    <mergeCell ref="B221:D221"/>
    <mergeCell ref="B117:K117"/>
    <mergeCell ref="F77:G77"/>
    <mergeCell ref="F166:G166"/>
    <mergeCell ref="I306:J306"/>
    <mergeCell ref="E264:H264"/>
    <mergeCell ref="F76:G76"/>
    <mergeCell ref="B59:K59"/>
    <mergeCell ref="B36:D36"/>
    <mergeCell ref="B207:D207"/>
    <mergeCell ref="B196:C196"/>
    <mergeCell ref="F150:G150"/>
    <mergeCell ref="B186:C186"/>
    <mergeCell ref="B173:D173"/>
    <mergeCell ref="B198:C198"/>
    <mergeCell ref="I261:J261"/>
    <mergeCell ref="B202:C202"/>
    <mergeCell ref="I264:J264"/>
    <mergeCell ref="F159:G159"/>
    <mergeCell ref="B55:D55"/>
    <mergeCell ref="B30:D30"/>
    <mergeCell ref="F79:G79"/>
    <mergeCell ref="B182:C182"/>
    <mergeCell ref="B265:D265"/>
    <mergeCell ref="F81:G81"/>
    <mergeCell ref="B54:D54"/>
    <mergeCell ref="B183:C183"/>
    <mergeCell ref="B177:C177"/>
    <mergeCell ref="B175:K175"/>
    <mergeCell ref="E261:H261"/>
    <mergeCell ref="B56:D56"/>
    <mergeCell ref="B43:D43"/>
    <mergeCell ref="F63:G63"/>
    <mergeCell ref="F74:G74"/>
    <mergeCell ref="B171:D171"/>
    <mergeCell ref="B180:C180"/>
    <mergeCell ref="B313:D313"/>
    <mergeCell ref="E309:H309"/>
    <mergeCell ref="B33:D33"/>
    <mergeCell ref="B79:D79"/>
    <mergeCell ref="B302:D302"/>
    <mergeCell ref="I303:J303"/>
    <mergeCell ref="B81:D81"/>
    <mergeCell ref="H18:I18"/>
    <mergeCell ref="J18:K18"/>
    <mergeCell ref="E270:K270"/>
    <mergeCell ref="G208:H208"/>
    <mergeCell ref="B170:D170"/>
    <mergeCell ref="F68:G68"/>
    <mergeCell ref="B157:D157"/>
    <mergeCell ref="B22:C22"/>
    <mergeCell ref="J19:K19"/>
    <mergeCell ref="B193:C193"/>
    <mergeCell ref="D22:E22"/>
    <mergeCell ref="F84:G84"/>
    <mergeCell ref="B20:K20"/>
    <mergeCell ref="B34:D34"/>
    <mergeCell ref="B172:D172"/>
    <mergeCell ref="E268:H268"/>
    <mergeCell ref="B28:D28"/>
    <mergeCell ref="H21:I21"/>
    <mergeCell ref="B311:K311"/>
    <mergeCell ref="H16:I16"/>
    <mergeCell ref="B154:D154"/>
    <mergeCell ref="J16:K16"/>
    <mergeCell ref="E265:H265"/>
    <mergeCell ref="B156:D156"/>
    <mergeCell ref="B155:D155"/>
    <mergeCell ref="B149:D149"/>
    <mergeCell ref="E310:K310"/>
    <mergeCell ref="B220:D220"/>
    <mergeCell ref="E304:H304"/>
    <mergeCell ref="B86:D86"/>
    <mergeCell ref="B262:D262"/>
    <mergeCell ref="B151:D151"/>
    <mergeCell ref="E306:H306"/>
    <mergeCell ref="F78:G78"/>
    <mergeCell ref="F65:G65"/>
    <mergeCell ref="B89:K89"/>
    <mergeCell ref="B38:D38"/>
    <mergeCell ref="E206:F206"/>
    <mergeCell ref="F169:G169"/>
    <mergeCell ref="B40:D40"/>
    <mergeCell ref="J17:K17"/>
    <mergeCell ref="I305:J305"/>
    <mergeCell ref="I268:J268"/>
    <mergeCell ref="E263:H263"/>
    <mergeCell ref="B83:D83"/>
    <mergeCell ref="B232:K232"/>
    <mergeCell ref="E303:H303"/>
    <mergeCell ref="F75:G75"/>
    <mergeCell ref="F62:G62"/>
    <mergeCell ref="B85:D85"/>
    <mergeCell ref="B147:K147"/>
    <mergeCell ref="F64:G64"/>
    <mergeCell ref="B199:C199"/>
    <mergeCell ref="B78:D78"/>
    <mergeCell ref="B184:C184"/>
    <mergeCell ref="E301:H301"/>
    <mergeCell ref="B270:D270"/>
    <mergeCell ref="F86:G86"/>
    <mergeCell ref="F80:G80"/>
    <mergeCell ref="I301:J301"/>
    <mergeCell ref="I304:J304"/>
    <mergeCell ref="B306:D306"/>
    <mergeCell ref="B62:D62"/>
    <mergeCell ref="B227:D227"/>
    <mergeCell ref="E308:H308"/>
    <mergeCell ref="B72:D72"/>
    <mergeCell ref="F170:G170"/>
    <mergeCell ref="B70:D70"/>
    <mergeCell ref="B228:D228"/>
    <mergeCell ref="F171:G171"/>
    <mergeCell ref="B82:D82"/>
    <mergeCell ref="B217:D217"/>
    <mergeCell ref="B304:D304"/>
    <mergeCell ref="E307:H307"/>
    <mergeCell ref="B64:D64"/>
    <mergeCell ref="E207:F207"/>
    <mergeCell ref="B52:K52"/>
    <mergeCell ref="G207:H207"/>
    <mergeCell ref="B2:K2"/>
    <mergeCell ref="B16:D16"/>
    <mergeCell ref="B60:K60"/>
    <mergeCell ref="B209:D209"/>
    <mergeCell ref="B201:C201"/>
    <mergeCell ref="B301:D301"/>
    <mergeCell ref="I265:J265"/>
    <mergeCell ref="I262:J262"/>
    <mergeCell ref="B214:D214"/>
    <mergeCell ref="B18:D18"/>
    <mergeCell ref="E53:I53"/>
    <mergeCell ref="B303:D303"/>
    <mergeCell ref="F157:G157"/>
    <mergeCell ref="F172:G172"/>
    <mergeCell ref="I266:J266"/>
    <mergeCell ref="B57:D57"/>
    <mergeCell ref="E55:I55"/>
    <mergeCell ref="B21:C21"/>
    <mergeCell ref="F173:G173"/>
    <mergeCell ref="I308:J308"/>
    <mergeCell ref="E266:H266"/>
    <mergeCell ref="B48:D48"/>
    <mergeCell ref="B194:C194"/>
    <mergeCell ref="F154:G154"/>
    <mergeCell ref="B164:D164"/>
    <mergeCell ref="I263:J263"/>
    <mergeCell ref="F156:G156"/>
    <mergeCell ref="B41:D41"/>
    <mergeCell ref="B206:D206"/>
    <mergeCell ref="F155:G155"/>
    <mergeCell ref="F149:G149"/>
    <mergeCell ref="B187:C187"/>
    <mergeCell ref="B66:D66"/>
    <mergeCell ref="F151:G151"/>
    <mergeCell ref="B189:C189"/>
    <mergeCell ref="B188:C188"/>
    <mergeCell ref="B205:K205"/>
    <mergeCell ref="B118:K118"/>
    <mergeCell ref="B67:D67"/>
    <mergeCell ref="B61:D61"/>
    <mergeCell ref="B190:C190"/>
    <mergeCell ref="E305:H305"/>
    <mergeCell ref="B69:D69"/>
    <mergeCell ref="I307:J307"/>
    <mergeCell ref="F153:G153"/>
    <mergeCell ref="B191:C191"/>
    <mergeCell ref="F72:G72"/>
    <mergeCell ref="B178:C178"/>
    <mergeCell ref="B176:K176"/>
    <mergeCell ref="B159:D159"/>
    <mergeCell ref="J21:K21"/>
    <mergeCell ref="B167:D167"/>
    <mergeCell ref="H23:I23"/>
    <mergeCell ref="B161:D161"/>
    <mergeCell ref="J23:K23"/>
    <mergeCell ref="B197:C197"/>
    <mergeCell ref="F148:G148"/>
    <mergeCell ref="B225:D225"/>
    <mergeCell ref="B162:D162"/>
    <mergeCell ref="B267:D267"/>
    <mergeCell ref="F83:G83"/>
    <mergeCell ref="E209:F209"/>
    <mergeCell ref="G209:H209"/>
    <mergeCell ref="B269:D269"/>
    <mergeCell ref="F85:G85"/>
    <mergeCell ref="B179:C179"/>
    <mergeCell ref="B273:K273"/>
    <mergeCell ref="B1:K1"/>
    <mergeCell ref="B150:D150"/>
    <mergeCell ref="B215:D215"/>
    <mergeCell ref="B263:D263"/>
    <mergeCell ref="B152:D152"/>
    <mergeCell ref="F73:G73"/>
    <mergeCell ref="I267:J267"/>
    <mergeCell ref="B229:D229"/>
    <mergeCell ref="E302:H302"/>
    <mergeCell ref="F164:G164"/>
    <mergeCell ref="B25:K25"/>
    <mergeCell ref="B163:D163"/>
    <mergeCell ref="B165:D165"/>
    <mergeCell ref="B77:D77"/>
    <mergeCell ref="F69:G69"/>
    <mergeCell ref="B15:K15"/>
    <mergeCell ref="B29:D29"/>
    <mergeCell ref="D21:E21"/>
    <mergeCell ref="E267:H267"/>
    <mergeCell ref="B23:C23"/>
    <mergeCell ref="B181:C181"/>
    <mergeCell ref="J55:K55"/>
    <mergeCell ref="E269:H269"/>
    <mergeCell ref="B266:D266"/>
    <mergeCell ref="B308:D308"/>
    <mergeCell ref="B195:C195"/>
    <mergeCell ref="B74:D74"/>
    <mergeCell ref="B68:D68"/>
    <mergeCell ref="B310:D310"/>
    <mergeCell ref="F66:G66"/>
    <mergeCell ref="H17:I17"/>
    <mergeCell ref="B76:D76"/>
    <mergeCell ref="H19:I19"/>
    <mergeCell ref="B272:K272"/>
    <mergeCell ref="F61:G61"/>
    <mergeCell ref="B309:D309"/>
    <mergeCell ref="B32:D32"/>
    <mergeCell ref="E262:H262"/>
    <mergeCell ref="B26:D26"/>
    <mergeCell ref="B268:D268"/>
    <mergeCell ref="B153:D153"/>
    <mergeCell ref="B224:D224"/>
    <mergeCell ref="F67:G67"/>
    <mergeCell ref="B261:D261"/>
    <mergeCell ref="F82:G82"/>
    <mergeCell ref="B27:D27"/>
    <mergeCell ref="E208:F208"/>
    <mergeCell ref="B42:D42"/>
    <mergeCell ref="B305:D305"/>
    <mergeCell ref="G206:H206"/>
    <mergeCell ref="F71:G71"/>
    <mergeCell ref="B208:D208"/>
    <mergeCell ref="B88:K88"/>
    <mergeCell ref="B219:D219"/>
    <mergeCell ref="B210:D210"/>
    <mergeCell ref="F162:G162"/>
    <mergeCell ref="B146:K146"/>
    <mergeCell ref="B200:C200"/>
    <mergeCell ref="B73:D73"/>
    <mergeCell ref="E210:F210"/>
    <mergeCell ref="B148:D148"/>
    <mergeCell ref="B166:D166"/>
    <mergeCell ref="F158:G158"/>
    <mergeCell ref="B230:D230"/>
    <mergeCell ref="B168:D168"/>
    <mergeCell ref="F160:G160"/>
    <mergeCell ref="B216:D216"/>
    <mergeCell ref="I269:J269"/>
    <mergeCell ref="B218:D218"/>
    <mergeCell ref="F167:G167"/>
    <mergeCell ref="F161:G161"/>
    <mergeCell ref="B264:D264"/>
    <mergeCell ref="F168:G168"/>
    <mergeCell ref="B53:D53"/>
    <mergeCell ref="B204:K204"/>
    <mergeCell ref="I302:J302"/>
    <mergeCell ref="B4:K4"/>
    <mergeCell ref="B84:D84"/>
    <mergeCell ref="B233:K233"/>
    <mergeCell ref="F70:G70"/>
    <mergeCell ref="B80:D80"/>
    <mergeCell ref="B213:D213"/>
    <mergeCell ref="J57:K57"/>
    <mergeCell ref="B44:D44"/>
    <mergeCell ref="B37:D37"/>
    <mergeCell ref="B45:D45"/>
    <mergeCell ref="B47:D47"/>
    <mergeCell ref="E57:I57"/>
    <mergeCell ref="B46:D46"/>
    <mergeCell ref="B35:D35"/>
    <mergeCell ref="H22:I22"/>
    <mergeCell ref="J53:K53"/>
    <mergeCell ref="B158:D158"/>
    <mergeCell ref="B160:D160"/>
    <mergeCell ref="B17:D17"/>
    <mergeCell ref="B19:D19"/>
  </mergeCells>
  <conditionalFormatting sqref="B4:K313">
    <cfRule type="cellIs" dxfId="75" priority="37" operator="equal">
      <formula>"NON OK"</formula>
    </cfRule>
  </conditionalFormatting>
  <conditionalFormatting sqref="E313">
    <cfRule type="expression" dxfId="74" priority="38">
      <formula>COUNTIF($B$4:$K$312,"NON OK")&gt;0</formula>
    </cfRule>
  </conditionalFormatting>
  <conditionalFormatting sqref="I236">
    <cfRule type="expression" dxfId="73" priority="1">
      <formula>$I$236&gt;$G$13</formula>
    </cfRule>
  </conditionalFormatting>
  <conditionalFormatting sqref="I237">
    <cfRule type="expression" dxfId="72" priority="2">
      <formula>$I$237&gt;$G$13</formula>
    </cfRule>
  </conditionalFormatting>
  <conditionalFormatting sqref="I238">
    <cfRule type="expression" dxfId="71" priority="3">
      <formula>$I$238&gt;$G$13</formula>
    </cfRule>
  </conditionalFormatting>
  <conditionalFormatting sqref="I239">
    <cfRule type="expression" dxfId="70" priority="4">
      <formula>$I$239&gt;$G$13</formula>
    </cfRule>
  </conditionalFormatting>
  <conditionalFormatting sqref="I240">
    <cfRule type="expression" dxfId="69" priority="5">
      <formula>$I$240&gt;$G$13</formula>
    </cfRule>
  </conditionalFormatting>
  <conditionalFormatting sqref="I241">
    <cfRule type="expression" dxfId="68" priority="6">
      <formula>$I$241&gt;$G$13</formula>
    </cfRule>
  </conditionalFormatting>
  <conditionalFormatting sqref="I242">
    <cfRule type="expression" dxfId="67" priority="7">
      <formula>$I$242&gt;$G$13</formula>
    </cfRule>
  </conditionalFormatting>
  <conditionalFormatting sqref="I243">
    <cfRule type="expression" dxfId="66" priority="8">
      <formula>$I$243&gt;$G$13</formula>
    </cfRule>
  </conditionalFormatting>
  <conditionalFormatting sqref="I244">
    <cfRule type="expression" dxfId="65" priority="9">
      <formula>$I$244&gt;$G$13</formula>
    </cfRule>
  </conditionalFormatting>
  <conditionalFormatting sqref="I245">
    <cfRule type="expression" dxfId="64" priority="10">
      <formula>$I$245&gt;$G$13</formula>
    </cfRule>
  </conditionalFormatting>
  <conditionalFormatting sqref="I252">
    <cfRule type="expression" dxfId="63" priority="11">
      <formula>$I$252&gt;$H$13</formula>
    </cfRule>
  </conditionalFormatting>
  <conditionalFormatting sqref="I253">
    <cfRule type="expression" dxfId="62" priority="12">
      <formula>$I$253&gt;$H$13</formula>
    </cfRule>
  </conditionalFormatting>
  <conditionalFormatting sqref="I254">
    <cfRule type="expression" dxfId="61" priority="13">
      <formula>$I$254&gt;$H$13</formula>
    </cfRule>
  </conditionalFormatting>
  <conditionalFormatting sqref="I255">
    <cfRule type="expression" dxfId="60" priority="14">
      <formula>$I$255&gt;$H$13</formula>
    </cfRule>
  </conditionalFormatting>
  <conditionalFormatting sqref="I256">
    <cfRule type="expression" dxfId="59" priority="15">
      <formula>$I$256&gt;$H$13</formula>
    </cfRule>
  </conditionalFormatting>
  <conditionalFormatting sqref="I257">
    <cfRule type="expression" dxfId="58" priority="16">
      <formula>$I$257&gt;$H$13</formula>
    </cfRule>
  </conditionalFormatting>
  <conditionalFormatting sqref="I258">
    <cfRule type="expression" dxfId="57" priority="17">
      <formula>$I$258&gt;$H$13</formula>
    </cfRule>
  </conditionalFormatting>
  <conditionalFormatting sqref="I259">
    <cfRule type="expression" dxfId="56" priority="18">
      <formula>$I$259&gt;$H$13</formula>
    </cfRule>
  </conditionalFormatting>
  <conditionalFormatting sqref="I276">
    <cfRule type="expression" dxfId="55" priority="19">
      <formula>$I$276&gt;$G$13</formula>
    </cfRule>
  </conditionalFormatting>
  <conditionalFormatting sqref="I277">
    <cfRule type="expression" dxfId="54" priority="20">
      <formula>$I$277&gt;$G$13</formula>
    </cfRule>
  </conditionalFormatting>
  <conditionalFormatting sqref="I278">
    <cfRule type="expression" dxfId="53" priority="21">
      <formula>$I$278&gt;$G$13</formula>
    </cfRule>
  </conditionalFormatting>
  <conditionalFormatting sqref="I279">
    <cfRule type="expression" dxfId="52" priority="22">
      <formula>$I$279&gt;$G$13</formula>
    </cfRule>
  </conditionalFormatting>
  <conditionalFormatting sqref="I280">
    <cfRule type="expression" dxfId="51" priority="23">
      <formula>$I$280&gt;$G$13</formula>
    </cfRule>
  </conditionalFormatting>
  <conditionalFormatting sqref="I281">
    <cfRule type="expression" dxfId="50" priority="24">
      <formula>$I$281&gt;$G$13</formula>
    </cfRule>
  </conditionalFormatting>
  <conditionalFormatting sqref="I282">
    <cfRule type="expression" dxfId="49" priority="25">
      <formula>$I$282&gt;$G$13</formula>
    </cfRule>
  </conditionalFormatting>
  <conditionalFormatting sqref="I283">
    <cfRule type="expression" dxfId="48" priority="26">
      <formula>$I$283&gt;$G$13</formula>
    </cfRule>
  </conditionalFormatting>
  <conditionalFormatting sqref="I284">
    <cfRule type="expression" dxfId="47" priority="27">
      <formula>$I$284&gt;$G$13</formula>
    </cfRule>
  </conditionalFormatting>
  <conditionalFormatting sqref="I285">
    <cfRule type="expression" dxfId="46" priority="28">
      <formula>$I$285&gt;$G$13</formula>
    </cfRule>
  </conditionalFormatting>
  <conditionalFormatting sqref="I292">
    <cfRule type="expression" dxfId="45" priority="29">
      <formula>$I$292&gt;$H$13</formula>
    </cfRule>
  </conditionalFormatting>
  <conditionalFormatting sqref="I293">
    <cfRule type="expression" dxfId="44" priority="30">
      <formula>$I$293&gt;$H$13</formula>
    </cfRule>
  </conditionalFormatting>
  <conditionalFormatting sqref="I294">
    <cfRule type="expression" dxfId="43" priority="31">
      <formula>$I$294&gt;$H$13</formula>
    </cfRule>
  </conditionalFormatting>
  <conditionalFormatting sqref="I295">
    <cfRule type="expression" dxfId="42" priority="32">
      <formula>$I$295&gt;$H$13</formula>
    </cfRule>
  </conditionalFormatting>
  <conditionalFormatting sqref="I296">
    <cfRule type="expression" dxfId="41" priority="33">
      <formula>$I$296&gt;$H$13</formula>
    </cfRule>
  </conditionalFormatting>
  <conditionalFormatting sqref="I297">
    <cfRule type="expression" dxfId="40" priority="34">
      <formula>$I$297&gt;$H$13</formula>
    </cfRule>
  </conditionalFormatting>
  <conditionalFormatting sqref="I298">
    <cfRule type="expression" dxfId="39" priority="35">
      <formula>$I$298&gt;$H$13</formula>
    </cfRule>
  </conditionalFormatting>
  <conditionalFormatting sqref="I299">
    <cfRule type="expression" dxfId="38" priority="36">
      <formula>$I$299&gt;$H$13</formula>
    </cfRule>
  </conditionalFormatting>
  <printOptions horizontalCentered="1"/>
  <pageMargins left="0.75" right="0.75" top="1" bottom="1" header="0.5" footer="0.5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K312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2" customWidth="1"/>
    <col min="2" max="2" width="26" customWidth="1"/>
    <col min="3" max="4" width="15" customWidth="1"/>
    <col min="5" max="5" width="26" customWidth="1"/>
    <col min="6" max="11" width="15" customWidth="1"/>
  </cols>
  <sheetData>
    <row r="1" spans="2:11" ht="24" customHeight="1" x14ac:dyDescent="0.25">
      <c r="B1" s="30" t="s">
        <v>220</v>
      </c>
      <c r="C1" s="18"/>
      <c r="D1" s="18"/>
      <c r="E1" s="18"/>
      <c r="F1" s="18"/>
      <c r="G1" s="18"/>
      <c r="H1" s="18"/>
      <c r="I1" s="18"/>
      <c r="J1" s="18"/>
      <c r="K1" s="18"/>
    </row>
    <row r="2" spans="2:11" x14ac:dyDescent="0.25">
      <c r="B2" s="36" t="s">
        <v>221</v>
      </c>
      <c r="C2" s="25"/>
      <c r="D2" s="25"/>
      <c r="E2" s="25"/>
      <c r="F2" s="25"/>
      <c r="G2" s="25"/>
      <c r="H2" s="25"/>
      <c r="I2" s="25"/>
      <c r="J2" s="25"/>
      <c r="K2" s="25"/>
    </row>
    <row r="4" spans="2:11" ht="20.100000000000001" customHeight="1" x14ac:dyDescent="0.25">
      <c r="B4" s="19" t="s">
        <v>2</v>
      </c>
      <c r="C4" s="18"/>
      <c r="D4" s="18"/>
      <c r="E4" s="18"/>
      <c r="F4" s="18"/>
      <c r="G4" s="18"/>
      <c r="H4" s="18"/>
      <c r="I4" s="18"/>
      <c r="J4" s="18"/>
      <c r="K4" s="18"/>
    </row>
    <row r="5" spans="2:11" ht="30" customHeight="1" x14ac:dyDescent="0.25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</row>
    <row r="6" spans="2:11" ht="30" customHeight="1" x14ac:dyDescent="0.25">
      <c r="B6" s="2"/>
      <c r="C6" s="2"/>
      <c r="D6" s="2" t="s">
        <v>13</v>
      </c>
      <c r="E6" s="2"/>
      <c r="F6" s="2"/>
      <c r="G6" s="2"/>
      <c r="H6" s="2"/>
      <c r="I6" s="2"/>
      <c r="J6" s="2"/>
      <c r="K6" s="2"/>
    </row>
    <row r="7" spans="2:11" x14ac:dyDescent="0.25">
      <c r="B7" s="3">
        <v>400</v>
      </c>
      <c r="C7" s="3">
        <v>25</v>
      </c>
      <c r="D7" s="3">
        <f>0.6+0.06*$C$7</f>
        <v>2.1</v>
      </c>
      <c r="E7" s="3">
        <v>25</v>
      </c>
      <c r="F7" s="3">
        <v>0.05</v>
      </c>
      <c r="G7" s="3">
        <v>1.5</v>
      </c>
      <c r="H7" s="3">
        <v>2</v>
      </c>
      <c r="I7" s="3">
        <v>18</v>
      </c>
      <c r="J7" s="3">
        <v>28</v>
      </c>
      <c r="K7" s="3">
        <v>0</v>
      </c>
    </row>
    <row r="8" spans="2:11" ht="20.100000000000001" customHeight="1" x14ac:dyDescent="0.25"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23</v>
      </c>
    </row>
    <row r="9" spans="2:11" ht="30" customHeight="1" x14ac:dyDescent="0.25">
      <c r="B9" s="2"/>
      <c r="C9" s="2"/>
      <c r="D9" s="2"/>
      <c r="E9" s="2" t="s">
        <v>24</v>
      </c>
      <c r="F9" s="2" t="s">
        <v>25</v>
      </c>
      <c r="G9" s="2"/>
      <c r="H9" s="2" t="s">
        <v>26</v>
      </c>
      <c r="I9" s="2" t="s">
        <v>27</v>
      </c>
      <c r="J9" s="2" t="s">
        <v>28</v>
      </c>
      <c r="K9" s="2"/>
    </row>
    <row r="10" spans="2:11" x14ac:dyDescent="0.25">
      <c r="B10" s="3">
        <v>2</v>
      </c>
      <c r="C10" s="3">
        <v>3</v>
      </c>
      <c r="D10" s="3">
        <v>3</v>
      </c>
      <c r="E10" s="3">
        <f>$B$7/1.15</f>
        <v>347.82608695652175</v>
      </c>
      <c r="F10" s="3">
        <f>$B$7/1</f>
        <v>400</v>
      </c>
      <c r="G10" s="3">
        <v>201.63333057805701</v>
      </c>
      <c r="H10" s="3">
        <f>0.85*$C$7/(1*1.5)</f>
        <v>14.166666666666666</v>
      </c>
      <c r="I10" s="3">
        <f>0.85*$C$7/(1*1.2)</f>
        <v>17.708333333333336</v>
      </c>
      <c r="J10" s="3">
        <f>0.6*$C$7</f>
        <v>15</v>
      </c>
      <c r="K10" s="4">
        <v>14</v>
      </c>
    </row>
    <row r="11" spans="2:11" ht="30" customHeight="1" x14ac:dyDescent="0.25">
      <c r="B11" s="1" t="s">
        <v>29</v>
      </c>
      <c r="C11" s="1" t="s">
        <v>30</v>
      </c>
      <c r="D11" s="1" t="s">
        <v>31</v>
      </c>
      <c r="E11" s="1" t="s">
        <v>32</v>
      </c>
      <c r="F11" s="1" t="s">
        <v>33</v>
      </c>
      <c r="G11" s="1" t="s">
        <v>34</v>
      </c>
      <c r="H11" s="1" t="s">
        <v>35</v>
      </c>
      <c r="I11" s="1" t="s">
        <v>36</v>
      </c>
      <c r="J11" s="1" t="s">
        <v>37</v>
      </c>
      <c r="K11" s="1" t="s">
        <v>38</v>
      </c>
    </row>
    <row r="12" spans="2:11" ht="18" customHeight="1" x14ac:dyDescent="0.25">
      <c r="B12" s="2"/>
      <c r="C12" s="2"/>
      <c r="D12" s="2"/>
      <c r="E12" s="2" t="s">
        <v>39</v>
      </c>
      <c r="F12" s="2" t="s">
        <v>40</v>
      </c>
      <c r="G12" s="2"/>
      <c r="H12" s="2"/>
      <c r="I12" s="2"/>
      <c r="J12" s="2"/>
      <c r="K12" s="2"/>
    </row>
    <row r="13" spans="2:11" x14ac:dyDescent="0.25">
      <c r="B13" s="3">
        <v>0.4</v>
      </c>
      <c r="C13" s="3">
        <v>0.4</v>
      </c>
      <c r="D13" s="3">
        <v>0.2</v>
      </c>
      <c r="E13" s="3">
        <f>$G$7-$G$18+$D$13</f>
        <v>1.3</v>
      </c>
      <c r="F13" s="3">
        <f>$G$7+$D$13</f>
        <v>1.7</v>
      </c>
      <c r="G13" s="5">
        <v>0.3916</v>
      </c>
      <c r="H13" s="5">
        <v>0.3795</v>
      </c>
      <c r="I13" s="3">
        <v>1.5</v>
      </c>
      <c r="J13" s="3">
        <v>1.2</v>
      </c>
      <c r="K13" s="6" t="s">
        <v>41</v>
      </c>
    </row>
    <row r="15" spans="2:11" ht="20.100000000000001" customHeight="1" x14ac:dyDescent="0.25">
      <c r="B15" s="19" t="s">
        <v>42</v>
      </c>
      <c r="C15" s="18"/>
      <c r="D15" s="18"/>
      <c r="E15" s="18"/>
      <c r="F15" s="18"/>
      <c r="G15" s="18"/>
      <c r="H15" s="18"/>
      <c r="I15" s="18"/>
      <c r="J15" s="18"/>
      <c r="K15" s="18"/>
    </row>
    <row r="16" spans="2:11" ht="20.100000000000001" customHeight="1" x14ac:dyDescent="0.25">
      <c r="B16" s="17"/>
      <c r="C16" s="18"/>
      <c r="D16" s="18"/>
      <c r="E16" s="1" t="s">
        <v>43</v>
      </c>
      <c r="F16" s="1" t="s">
        <v>44</v>
      </c>
      <c r="G16" s="1" t="s">
        <v>33</v>
      </c>
      <c r="H16" s="17" t="s">
        <v>45</v>
      </c>
      <c r="I16" s="18"/>
      <c r="J16" s="17" t="s">
        <v>46</v>
      </c>
      <c r="K16" s="18"/>
    </row>
    <row r="17" spans="2:11" x14ac:dyDescent="0.25">
      <c r="B17" s="22" t="s">
        <v>47</v>
      </c>
      <c r="C17" s="23"/>
      <c r="D17" s="23"/>
      <c r="E17" s="3">
        <f>$F$23</f>
        <v>0.46368092477478517</v>
      </c>
      <c r="F17" s="3">
        <f>$G$23</f>
        <v>0.46368092477478517</v>
      </c>
      <c r="G17" s="3">
        <f>$J$23</f>
        <v>0.4</v>
      </c>
      <c r="H17" s="28">
        <f>$H$23</f>
        <v>0.22500000000000001</v>
      </c>
      <c r="I17" s="21"/>
      <c r="J17" s="28">
        <f>$H$23</f>
        <v>0.22500000000000001</v>
      </c>
      <c r="K17" s="21"/>
    </row>
    <row r="18" spans="2:11" x14ac:dyDescent="0.25">
      <c r="B18" s="22" t="s">
        <v>48</v>
      </c>
      <c r="C18" s="23"/>
      <c r="D18" s="23"/>
      <c r="E18" s="8">
        <v>1.3</v>
      </c>
      <c r="F18" s="8">
        <v>1.3</v>
      </c>
      <c r="G18" s="8">
        <v>0.4</v>
      </c>
      <c r="H18" s="28">
        <f>$G$18-$F$7-$K$10/2000</f>
        <v>0.34300000000000003</v>
      </c>
      <c r="I18" s="21"/>
      <c r="J18" s="28">
        <f>$G$18-$F$7-1.5*$K$10/1000</f>
        <v>0.32900000000000001</v>
      </c>
      <c r="K18" s="21"/>
    </row>
    <row r="19" spans="2:11" ht="15.75" x14ac:dyDescent="0.25">
      <c r="B19" s="22" t="s">
        <v>49</v>
      </c>
      <c r="C19" s="23"/>
      <c r="D19" s="23"/>
      <c r="E19" s="9" t="str">
        <f>IF($E$18&gt;=$E$17-0.0001,"OK","NON OK")</f>
        <v>OK</v>
      </c>
      <c r="F19" s="9" t="str">
        <f>IF($F$18&gt;=$F$17-0.0001,"OK","NON OK")</f>
        <v>OK</v>
      </c>
      <c r="G19" s="9" t="str">
        <f>IF($G$18&gt;=$G$17-0.0001,"OK","NON OK")</f>
        <v>OK</v>
      </c>
      <c r="H19" s="29" t="str">
        <f>IF($H$18&gt;=$H$17-0.0001,"OK","NON OK")</f>
        <v>OK</v>
      </c>
      <c r="I19" s="21"/>
      <c r="J19" s="29" t="str">
        <f>IF($J$18&gt;=$J$17-0.0001,"OK","NON OK")</f>
        <v>OK</v>
      </c>
      <c r="K19" s="21"/>
    </row>
    <row r="20" spans="2:11" ht="30" customHeight="1" x14ac:dyDescent="0.25">
      <c r="B20" s="24" t="s">
        <v>50</v>
      </c>
      <c r="C20" s="25"/>
      <c r="D20" s="25"/>
      <c r="E20" s="25"/>
      <c r="F20" s="25"/>
      <c r="G20" s="25"/>
      <c r="H20" s="25"/>
      <c r="I20" s="25"/>
      <c r="J20" s="25"/>
      <c r="K20" s="25"/>
    </row>
    <row r="21" spans="2:11" ht="20.100000000000001" customHeight="1" x14ac:dyDescent="0.25">
      <c r="B21" s="17" t="s">
        <v>51</v>
      </c>
      <c r="C21" s="18"/>
      <c r="D21" s="17" t="s">
        <v>52</v>
      </c>
      <c r="E21" s="18"/>
      <c r="F21" s="1" t="s">
        <v>53</v>
      </c>
      <c r="G21" s="1" t="s">
        <v>54</v>
      </c>
      <c r="H21" s="17" t="s">
        <v>55</v>
      </c>
      <c r="I21" s="18"/>
      <c r="J21" s="17" t="s">
        <v>56</v>
      </c>
      <c r="K21" s="18"/>
    </row>
    <row r="22" spans="2:11" ht="30" customHeight="1" x14ac:dyDescent="0.25">
      <c r="B22" s="33"/>
      <c r="C22" s="34"/>
      <c r="D22" s="33" t="s">
        <v>57</v>
      </c>
      <c r="E22" s="34"/>
      <c r="F22" s="2" t="s">
        <v>58</v>
      </c>
      <c r="G22" s="2" t="s">
        <v>59</v>
      </c>
      <c r="H22" s="33" t="s">
        <v>60</v>
      </c>
      <c r="I22" s="34"/>
      <c r="J22" s="33" t="s">
        <v>61</v>
      </c>
      <c r="K22" s="34"/>
    </row>
    <row r="23" spans="2:11" x14ac:dyDescent="0.25">
      <c r="B23" s="20">
        <f>MAX($G$37,$G$38,$G$39,$G$40,$G$41,$G$42)</f>
        <v>43</v>
      </c>
      <c r="C23" s="21"/>
      <c r="D23" s="28">
        <f>$B$23/($B$10*100)</f>
        <v>0.215</v>
      </c>
      <c r="E23" s="21"/>
      <c r="F23" s="10">
        <f>SQRT($D$23*$B$13/$C$13)</f>
        <v>0.46368092477478517</v>
      </c>
      <c r="G23" s="10">
        <f>SQRT($D$23*$C$13/$B$13)</f>
        <v>0.46368092477478517</v>
      </c>
      <c r="H23" s="28">
        <f>MAX(($E$18-$B$13)/4,($F$18-$C$13)/4)</f>
        <v>0.22500000000000001</v>
      </c>
      <c r="I23" s="21"/>
      <c r="J23" s="15">
        <f>MAX(0.4,CEILING($H$23+$F$7+1.5*$K$10/1000,0.05))</f>
        <v>0.4</v>
      </c>
      <c r="K23" s="16"/>
    </row>
    <row r="25" spans="2:11" ht="20.100000000000001" customHeight="1" x14ac:dyDescent="0.25">
      <c r="B25" s="19" t="s">
        <v>62</v>
      </c>
      <c r="C25" s="18"/>
      <c r="D25" s="18"/>
      <c r="E25" s="18"/>
      <c r="F25" s="18"/>
      <c r="G25" s="18"/>
      <c r="H25" s="18"/>
      <c r="I25" s="18"/>
      <c r="J25" s="18"/>
      <c r="K25" s="18"/>
    </row>
    <row r="26" spans="2:11" ht="20.100000000000001" customHeight="1" x14ac:dyDescent="0.25">
      <c r="B26" s="17" t="s">
        <v>63</v>
      </c>
      <c r="C26" s="18"/>
      <c r="D26" s="18"/>
      <c r="E26" s="1" t="s">
        <v>64</v>
      </c>
      <c r="F26" s="1" t="s">
        <v>65</v>
      </c>
      <c r="G26" s="1" t="s">
        <v>66</v>
      </c>
      <c r="H26" s="1" t="s">
        <v>67</v>
      </c>
      <c r="I26" s="1" t="s">
        <v>68</v>
      </c>
      <c r="J26" s="1" t="s">
        <v>69</v>
      </c>
      <c r="K26" s="1" t="s">
        <v>70</v>
      </c>
    </row>
    <row r="27" spans="2:11" x14ac:dyDescent="0.25">
      <c r="B27" s="22" t="s">
        <v>71</v>
      </c>
      <c r="C27" s="23"/>
      <c r="D27" s="23"/>
      <c r="E27" s="6" t="s">
        <v>72</v>
      </c>
      <c r="F27" s="6" t="s">
        <v>222</v>
      </c>
      <c r="G27" s="10">
        <v>59.25</v>
      </c>
      <c r="H27" s="3">
        <v>0</v>
      </c>
      <c r="I27" s="3">
        <v>0</v>
      </c>
      <c r="J27" s="3">
        <v>0</v>
      </c>
      <c r="K27" s="3">
        <v>4.05</v>
      </c>
    </row>
    <row r="28" spans="2:11" x14ac:dyDescent="0.25">
      <c r="B28" s="22" t="s">
        <v>74</v>
      </c>
      <c r="C28" s="23"/>
      <c r="D28" s="23"/>
      <c r="E28" s="6" t="s">
        <v>72</v>
      </c>
      <c r="F28" s="6" t="s">
        <v>222</v>
      </c>
      <c r="G28" s="10">
        <v>47.25</v>
      </c>
      <c r="H28" s="3">
        <v>0</v>
      </c>
      <c r="I28" s="3">
        <v>0</v>
      </c>
      <c r="J28" s="3">
        <v>0</v>
      </c>
      <c r="K28" s="3">
        <v>4.05</v>
      </c>
    </row>
    <row r="29" spans="2:11" x14ac:dyDescent="0.25">
      <c r="B29" s="22" t="s">
        <v>75</v>
      </c>
      <c r="C29" s="23"/>
      <c r="D29" s="23"/>
      <c r="E29" s="6" t="s">
        <v>72</v>
      </c>
      <c r="F29" s="6" t="s">
        <v>222</v>
      </c>
      <c r="G29" s="10">
        <v>2.25</v>
      </c>
      <c r="H29" s="3">
        <v>0</v>
      </c>
      <c r="I29" s="3">
        <v>0</v>
      </c>
      <c r="J29" s="3">
        <v>0</v>
      </c>
      <c r="K29" s="3">
        <v>-9.4499999999999993</v>
      </c>
    </row>
    <row r="30" spans="2:11" x14ac:dyDescent="0.25">
      <c r="B30" s="22" t="s">
        <v>76</v>
      </c>
      <c r="C30" s="23"/>
      <c r="D30" s="23"/>
      <c r="E30" s="6" t="s">
        <v>72</v>
      </c>
      <c r="F30" s="6" t="s">
        <v>222</v>
      </c>
      <c r="G30" s="10">
        <v>47.25</v>
      </c>
      <c r="H30" s="3">
        <v>0</v>
      </c>
      <c r="I30" s="3">
        <v>0</v>
      </c>
      <c r="J30" s="3">
        <v>0</v>
      </c>
      <c r="K30" s="3">
        <v>4.05</v>
      </c>
    </row>
    <row r="31" spans="2:11" x14ac:dyDescent="0.25">
      <c r="B31" s="22" t="s">
        <v>77</v>
      </c>
      <c r="C31" s="23"/>
      <c r="D31" s="23"/>
      <c r="E31" s="6" t="s">
        <v>72</v>
      </c>
      <c r="F31" s="6" t="s">
        <v>222</v>
      </c>
      <c r="G31" s="10">
        <v>-10</v>
      </c>
      <c r="H31" s="3">
        <v>0</v>
      </c>
      <c r="I31" s="3">
        <v>0</v>
      </c>
      <c r="J31" s="3">
        <v>0</v>
      </c>
      <c r="K31" s="3">
        <v>-10.5</v>
      </c>
    </row>
    <row r="32" spans="2:11" x14ac:dyDescent="0.25">
      <c r="B32" s="22" t="s">
        <v>78</v>
      </c>
      <c r="C32" s="23"/>
      <c r="D32" s="23"/>
      <c r="E32" s="6" t="s">
        <v>72</v>
      </c>
      <c r="F32" s="6" t="s">
        <v>222</v>
      </c>
      <c r="G32" s="10">
        <v>35</v>
      </c>
      <c r="H32" s="3">
        <v>0</v>
      </c>
      <c r="I32" s="3">
        <v>0</v>
      </c>
      <c r="J32" s="3">
        <v>0</v>
      </c>
      <c r="K32" s="3">
        <v>3</v>
      </c>
    </row>
    <row r="33" spans="2:11" x14ac:dyDescent="0.25">
      <c r="B33" s="22" t="s">
        <v>79</v>
      </c>
      <c r="C33" s="23"/>
      <c r="D33" s="23"/>
      <c r="E33" s="6" t="s">
        <v>72</v>
      </c>
      <c r="F33" s="6" t="s">
        <v>222</v>
      </c>
      <c r="G33" s="10">
        <v>17.55</v>
      </c>
      <c r="H33" s="3">
        <v>0</v>
      </c>
      <c r="I33" s="3">
        <v>0</v>
      </c>
      <c r="J33" s="3">
        <v>0</v>
      </c>
      <c r="K33" s="3">
        <v>-8.1</v>
      </c>
    </row>
    <row r="34" spans="2:11" x14ac:dyDescent="0.25">
      <c r="B34" s="22" t="s">
        <v>80</v>
      </c>
      <c r="C34" s="23"/>
      <c r="D34" s="23"/>
      <c r="E34" s="6" t="s">
        <v>72</v>
      </c>
      <c r="F34" s="6" t="s">
        <v>222</v>
      </c>
      <c r="G34" s="10">
        <v>58.05</v>
      </c>
      <c r="H34" s="3">
        <v>0</v>
      </c>
      <c r="I34" s="3">
        <v>0</v>
      </c>
      <c r="J34" s="3">
        <v>0</v>
      </c>
      <c r="K34" s="3">
        <v>4.05</v>
      </c>
    </row>
    <row r="35" spans="2:11" x14ac:dyDescent="0.25">
      <c r="B35" s="22" t="s">
        <v>81</v>
      </c>
      <c r="C35" s="23"/>
      <c r="D35" s="23"/>
      <c r="E35" s="6" t="s">
        <v>72</v>
      </c>
      <c r="F35" s="6" t="s">
        <v>222</v>
      </c>
      <c r="G35" s="10">
        <v>6.75</v>
      </c>
      <c r="H35" s="3">
        <v>0</v>
      </c>
      <c r="I35" s="3">
        <v>0</v>
      </c>
      <c r="J35" s="3">
        <v>0</v>
      </c>
      <c r="K35" s="3">
        <v>-8.1</v>
      </c>
    </row>
    <row r="36" spans="2:11" x14ac:dyDescent="0.25">
      <c r="B36" s="22" t="s">
        <v>82</v>
      </c>
      <c r="C36" s="23"/>
      <c r="D36" s="23"/>
      <c r="E36" s="6" t="s">
        <v>72</v>
      </c>
      <c r="F36" s="6" t="s">
        <v>222</v>
      </c>
      <c r="G36" s="10">
        <v>47.25</v>
      </c>
      <c r="H36" s="3">
        <v>0</v>
      </c>
      <c r="I36" s="3">
        <v>0</v>
      </c>
      <c r="J36" s="3">
        <v>0</v>
      </c>
      <c r="K36" s="3">
        <v>4.05</v>
      </c>
    </row>
    <row r="37" spans="2:11" x14ac:dyDescent="0.25">
      <c r="B37" s="22" t="s">
        <v>83</v>
      </c>
      <c r="C37" s="23"/>
      <c r="D37" s="23"/>
      <c r="E37" s="6" t="s">
        <v>84</v>
      </c>
      <c r="F37" s="6" t="s">
        <v>222</v>
      </c>
      <c r="G37" s="10">
        <v>43</v>
      </c>
      <c r="H37" s="3">
        <v>0</v>
      </c>
      <c r="I37" s="3">
        <v>0</v>
      </c>
      <c r="J37" s="3">
        <v>0</v>
      </c>
      <c r="K37" s="3">
        <v>3</v>
      </c>
    </row>
    <row r="38" spans="2:11" x14ac:dyDescent="0.25">
      <c r="B38" s="22" t="s">
        <v>85</v>
      </c>
      <c r="C38" s="23"/>
      <c r="D38" s="23"/>
      <c r="E38" s="6" t="s">
        <v>84</v>
      </c>
      <c r="F38" s="6" t="s">
        <v>222</v>
      </c>
      <c r="G38" s="10">
        <v>35</v>
      </c>
      <c r="H38" s="3">
        <v>0</v>
      </c>
      <c r="I38" s="3">
        <v>0</v>
      </c>
      <c r="J38" s="3">
        <v>0</v>
      </c>
      <c r="K38" s="3">
        <v>3</v>
      </c>
    </row>
    <row r="39" spans="2:11" x14ac:dyDescent="0.25">
      <c r="B39" s="22" t="s">
        <v>86</v>
      </c>
      <c r="C39" s="23"/>
      <c r="D39" s="23"/>
      <c r="E39" s="6" t="s">
        <v>84</v>
      </c>
      <c r="F39" s="6" t="s">
        <v>222</v>
      </c>
      <c r="G39" s="10">
        <v>5</v>
      </c>
      <c r="H39" s="3">
        <v>0</v>
      </c>
      <c r="I39" s="3">
        <v>0</v>
      </c>
      <c r="J39" s="3">
        <v>0</v>
      </c>
      <c r="K39" s="3">
        <v>-6</v>
      </c>
    </row>
    <row r="40" spans="2:11" x14ac:dyDescent="0.25">
      <c r="B40" s="22" t="s">
        <v>87</v>
      </c>
      <c r="C40" s="23"/>
      <c r="D40" s="23"/>
      <c r="E40" s="6" t="s">
        <v>84</v>
      </c>
      <c r="F40" s="6" t="s">
        <v>222</v>
      </c>
      <c r="G40" s="10">
        <v>35</v>
      </c>
      <c r="H40" s="3">
        <v>0</v>
      </c>
      <c r="I40" s="3">
        <v>0</v>
      </c>
      <c r="J40" s="3">
        <v>0</v>
      </c>
      <c r="K40" s="3">
        <v>3</v>
      </c>
    </row>
    <row r="41" spans="2:11" x14ac:dyDescent="0.25">
      <c r="B41" s="22" t="s">
        <v>88</v>
      </c>
      <c r="C41" s="23"/>
      <c r="D41" s="23"/>
      <c r="E41" s="6" t="s">
        <v>84</v>
      </c>
      <c r="F41" s="6" t="s">
        <v>222</v>
      </c>
      <c r="G41" s="10">
        <v>15.2</v>
      </c>
      <c r="H41" s="3">
        <v>0</v>
      </c>
      <c r="I41" s="3">
        <v>0</v>
      </c>
      <c r="J41" s="3">
        <v>0</v>
      </c>
      <c r="K41" s="3">
        <v>-5.0999999999999996</v>
      </c>
    </row>
    <row r="42" spans="2:11" x14ac:dyDescent="0.25">
      <c r="B42" s="22" t="s">
        <v>89</v>
      </c>
      <c r="C42" s="23"/>
      <c r="D42" s="23"/>
      <c r="E42" s="6" t="s">
        <v>84</v>
      </c>
      <c r="F42" s="6" t="s">
        <v>222</v>
      </c>
      <c r="G42" s="10">
        <v>42.2</v>
      </c>
      <c r="H42" s="3">
        <v>0</v>
      </c>
      <c r="I42" s="3">
        <v>0</v>
      </c>
      <c r="J42" s="3">
        <v>0</v>
      </c>
      <c r="K42" s="3">
        <v>3</v>
      </c>
    </row>
    <row r="43" spans="2:11" x14ac:dyDescent="0.25">
      <c r="B43" s="22" t="s">
        <v>90</v>
      </c>
      <c r="C43" s="23"/>
      <c r="D43" s="23"/>
      <c r="E43" s="6" t="s">
        <v>91</v>
      </c>
      <c r="F43" s="6" t="s">
        <v>222</v>
      </c>
      <c r="G43" s="10">
        <v>48.2</v>
      </c>
      <c r="H43" s="3">
        <v>0</v>
      </c>
      <c r="I43" s="3">
        <v>0</v>
      </c>
      <c r="J43" s="3">
        <v>21.6</v>
      </c>
      <c r="K43" s="3">
        <v>3</v>
      </c>
    </row>
    <row r="44" spans="2:11" x14ac:dyDescent="0.25">
      <c r="B44" s="22" t="s">
        <v>92</v>
      </c>
      <c r="C44" s="23"/>
      <c r="D44" s="23"/>
      <c r="E44" s="6" t="s">
        <v>91</v>
      </c>
      <c r="F44" s="6" t="s">
        <v>222</v>
      </c>
      <c r="G44" s="10">
        <v>48.2</v>
      </c>
      <c r="H44" s="3">
        <v>0</v>
      </c>
      <c r="I44" s="3">
        <v>0</v>
      </c>
      <c r="J44" s="3">
        <v>21.6</v>
      </c>
      <c r="K44" s="3">
        <v>3</v>
      </c>
    </row>
    <row r="45" spans="2:11" x14ac:dyDescent="0.25">
      <c r="B45" s="22" t="s">
        <v>93</v>
      </c>
      <c r="C45" s="23"/>
      <c r="D45" s="23"/>
      <c r="E45" s="6" t="s">
        <v>91</v>
      </c>
      <c r="F45" s="6" t="s">
        <v>222</v>
      </c>
      <c r="G45" s="10">
        <v>40.64</v>
      </c>
      <c r="H45" s="3">
        <v>0</v>
      </c>
      <c r="I45" s="3">
        <v>0</v>
      </c>
      <c r="J45" s="3">
        <v>6.48</v>
      </c>
      <c r="K45" s="3">
        <v>3</v>
      </c>
    </row>
    <row r="46" spans="2:11" x14ac:dyDescent="0.25">
      <c r="B46" s="22" t="s">
        <v>94</v>
      </c>
      <c r="C46" s="23"/>
      <c r="D46" s="23"/>
      <c r="E46" s="6" t="s">
        <v>91</v>
      </c>
      <c r="F46" s="6" t="s">
        <v>222</v>
      </c>
      <c r="G46" s="10">
        <v>40.64</v>
      </c>
      <c r="H46" s="3">
        <v>0</v>
      </c>
      <c r="I46" s="3">
        <v>0</v>
      </c>
      <c r="J46" s="3">
        <v>6.48</v>
      </c>
      <c r="K46" s="3">
        <v>3</v>
      </c>
    </row>
    <row r="47" spans="2:11" x14ac:dyDescent="0.25">
      <c r="B47" s="22" t="s">
        <v>95</v>
      </c>
      <c r="C47" s="23"/>
      <c r="D47" s="23"/>
      <c r="E47" s="6" t="s">
        <v>91</v>
      </c>
      <c r="F47" s="6" t="s">
        <v>222</v>
      </c>
      <c r="G47" s="10">
        <v>26.6</v>
      </c>
      <c r="H47" s="3">
        <v>0</v>
      </c>
      <c r="I47" s="3">
        <v>0</v>
      </c>
      <c r="J47" s="3">
        <v>-21.6</v>
      </c>
      <c r="K47" s="3">
        <v>3</v>
      </c>
    </row>
    <row r="48" spans="2:11" x14ac:dyDescent="0.25">
      <c r="B48" s="22" t="s">
        <v>96</v>
      </c>
      <c r="C48" s="23"/>
      <c r="D48" s="23"/>
      <c r="E48" s="6" t="s">
        <v>91</v>
      </c>
      <c r="F48" s="6" t="s">
        <v>222</v>
      </c>
      <c r="G48" s="10">
        <v>26.6</v>
      </c>
      <c r="H48" s="3">
        <v>0</v>
      </c>
      <c r="I48" s="3">
        <v>0</v>
      </c>
      <c r="J48" s="3">
        <v>-21.6</v>
      </c>
      <c r="K48" s="3">
        <v>3</v>
      </c>
    </row>
    <row r="49" spans="2:11" x14ac:dyDescent="0.25">
      <c r="B49" s="22" t="s">
        <v>97</v>
      </c>
      <c r="C49" s="23"/>
      <c r="D49" s="23"/>
      <c r="E49" s="6" t="s">
        <v>91</v>
      </c>
      <c r="F49" s="6" t="s">
        <v>222</v>
      </c>
      <c r="G49" s="10">
        <v>34.159999999999997</v>
      </c>
      <c r="H49" s="3">
        <v>0</v>
      </c>
      <c r="I49" s="3">
        <v>0</v>
      </c>
      <c r="J49" s="3">
        <v>-6.48</v>
      </c>
      <c r="K49" s="3">
        <v>3</v>
      </c>
    </row>
    <row r="50" spans="2:11" x14ac:dyDescent="0.25">
      <c r="B50" s="22" t="s">
        <v>98</v>
      </c>
      <c r="C50" s="23"/>
      <c r="D50" s="23"/>
      <c r="E50" s="6" t="s">
        <v>91</v>
      </c>
      <c r="F50" s="6" t="s">
        <v>222</v>
      </c>
      <c r="G50" s="10">
        <v>34.159999999999997</v>
      </c>
      <c r="H50" s="3">
        <v>0</v>
      </c>
      <c r="I50" s="3">
        <v>0</v>
      </c>
      <c r="J50" s="3">
        <v>-6.48</v>
      </c>
      <c r="K50" s="3">
        <v>3</v>
      </c>
    </row>
    <row r="52" spans="2:11" ht="20.100000000000001" customHeight="1" x14ac:dyDescent="0.25">
      <c r="B52" s="19" t="s">
        <v>99</v>
      </c>
      <c r="C52" s="18"/>
      <c r="D52" s="18"/>
      <c r="E52" s="18"/>
      <c r="F52" s="18"/>
      <c r="G52" s="18"/>
      <c r="H52" s="18"/>
      <c r="I52" s="18"/>
      <c r="J52" s="18"/>
      <c r="K52" s="18"/>
    </row>
    <row r="53" spans="2:11" ht="20.100000000000001" customHeight="1" x14ac:dyDescent="0.25">
      <c r="B53" s="17" t="s">
        <v>100</v>
      </c>
      <c r="C53" s="18"/>
      <c r="D53" s="18"/>
      <c r="E53" s="17" t="s">
        <v>101</v>
      </c>
      <c r="F53" s="18"/>
      <c r="G53" s="18"/>
      <c r="H53" s="18"/>
      <c r="I53" s="18"/>
      <c r="J53" s="17" t="s">
        <v>102</v>
      </c>
      <c r="K53" s="18"/>
    </row>
    <row r="54" spans="2:11" x14ac:dyDescent="0.25">
      <c r="B54" s="22" t="s">
        <v>103</v>
      </c>
      <c r="C54" s="23"/>
      <c r="D54" s="23"/>
      <c r="E54" s="35" t="s">
        <v>104</v>
      </c>
      <c r="F54" s="21"/>
      <c r="G54" s="21"/>
      <c r="H54" s="21"/>
      <c r="I54" s="21"/>
      <c r="J54" s="20">
        <f>$E$7*$E$18*$F$18*$G$18</f>
        <v>16.900000000000002</v>
      </c>
      <c r="K54" s="21"/>
    </row>
    <row r="55" spans="2:11" x14ac:dyDescent="0.25">
      <c r="B55" s="22" t="s">
        <v>105</v>
      </c>
      <c r="C55" s="23"/>
      <c r="D55" s="23"/>
      <c r="E55" s="35" t="s">
        <v>106</v>
      </c>
      <c r="F55" s="21"/>
      <c r="G55" s="21"/>
      <c r="H55" s="21"/>
      <c r="I55" s="21"/>
      <c r="J55" s="20">
        <f>$E$7*$B$13*$C$13*$E$13</f>
        <v>5.2</v>
      </c>
      <c r="K55" s="21"/>
    </row>
    <row r="56" spans="2:11" x14ac:dyDescent="0.25">
      <c r="B56" s="22" t="s">
        <v>107</v>
      </c>
      <c r="C56" s="23"/>
      <c r="D56" s="23"/>
      <c r="E56" s="35" t="s">
        <v>108</v>
      </c>
      <c r="F56" s="21"/>
      <c r="G56" s="21"/>
      <c r="H56" s="21"/>
      <c r="I56" s="21"/>
      <c r="J56" s="20">
        <f>$I$7*($E$18*$F$18-$B$13*$C$13)*MAX($G$7-$G$18,0)</f>
        <v>30.294000000000008</v>
      </c>
      <c r="K56" s="21"/>
    </row>
    <row r="57" spans="2:11" x14ac:dyDescent="0.25">
      <c r="B57" s="27" t="s">
        <v>109</v>
      </c>
      <c r="C57" s="18"/>
      <c r="D57" s="18"/>
      <c r="E57" s="35" t="s">
        <v>110</v>
      </c>
      <c r="F57" s="21"/>
      <c r="G57" s="21"/>
      <c r="H57" s="21"/>
      <c r="I57" s="21"/>
      <c r="J57" s="15">
        <f>$J$54+$J$55+$J$56</f>
        <v>52.394000000000005</v>
      </c>
      <c r="K57" s="16"/>
    </row>
    <row r="59" spans="2:11" ht="20.100000000000001" customHeight="1" x14ac:dyDescent="0.25">
      <c r="B59" s="19" t="s">
        <v>111</v>
      </c>
      <c r="C59" s="18"/>
      <c r="D59" s="18"/>
      <c r="E59" s="18"/>
      <c r="F59" s="18"/>
      <c r="G59" s="18"/>
      <c r="H59" s="18"/>
      <c r="I59" s="18"/>
      <c r="J59" s="18"/>
      <c r="K59" s="18"/>
    </row>
    <row r="60" spans="2:11" ht="30" customHeight="1" x14ac:dyDescent="0.25">
      <c r="B60" s="24" t="s">
        <v>112</v>
      </c>
      <c r="C60" s="25"/>
      <c r="D60" s="25"/>
      <c r="E60" s="25"/>
      <c r="F60" s="25"/>
      <c r="G60" s="25"/>
      <c r="H60" s="25"/>
      <c r="I60" s="25"/>
      <c r="J60" s="25"/>
      <c r="K60" s="25"/>
    </row>
    <row r="61" spans="2:11" ht="20.100000000000001" customHeight="1" x14ac:dyDescent="0.25">
      <c r="B61" s="17" t="s">
        <v>63</v>
      </c>
      <c r="C61" s="18"/>
      <c r="D61" s="18"/>
      <c r="E61" s="1" t="s">
        <v>113</v>
      </c>
      <c r="F61" s="17" t="s">
        <v>114</v>
      </c>
      <c r="G61" s="18"/>
      <c r="H61" s="1" t="s">
        <v>115</v>
      </c>
      <c r="I61" s="1" t="s">
        <v>116</v>
      </c>
      <c r="J61" s="1" t="s">
        <v>117</v>
      </c>
      <c r="K61" s="1" t="s">
        <v>118</v>
      </c>
    </row>
    <row r="62" spans="2:11" ht="18" customHeight="1" x14ac:dyDescent="0.25">
      <c r="B62" s="33"/>
      <c r="C62" s="34"/>
      <c r="D62" s="34"/>
      <c r="E62" s="2"/>
      <c r="F62" s="33" t="s">
        <v>119</v>
      </c>
      <c r="G62" s="34"/>
      <c r="H62" s="2" t="s">
        <v>120</v>
      </c>
      <c r="I62" s="2" t="s">
        <v>121</v>
      </c>
      <c r="J62" s="2" t="s">
        <v>122</v>
      </c>
      <c r="K62" s="2" t="s">
        <v>123</v>
      </c>
    </row>
    <row r="63" spans="2:11" x14ac:dyDescent="0.25">
      <c r="B63" s="22" t="s">
        <v>71</v>
      </c>
      <c r="C63" s="23"/>
      <c r="D63" s="23"/>
      <c r="E63" s="3">
        <v>1.35</v>
      </c>
      <c r="F63" s="15">
        <f>$G$27+$E$63*$J$57</f>
        <v>129.9819</v>
      </c>
      <c r="G63" s="16"/>
      <c r="H63" s="3">
        <f>$I$27+$J$27*$F$13</f>
        <v>0</v>
      </c>
      <c r="I63" s="3">
        <f>$H$27-$K$27*$F$13</f>
        <v>-6.8849999999999998</v>
      </c>
      <c r="J63" s="5">
        <f>IF($F$63&gt;0,ABS($H$63)/$F$63,"N ≤ 0")</f>
        <v>0</v>
      </c>
      <c r="K63" s="5">
        <f>IF($F$63&gt;0,ABS($I$63)/$F$63,"N ≤ 0")</f>
        <v>5.2968913364091465E-2</v>
      </c>
    </row>
    <row r="64" spans="2:11" x14ac:dyDescent="0.25">
      <c r="B64" s="22" t="s">
        <v>74</v>
      </c>
      <c r="C64" s="23"/>
      <c r="D64" s="23"/>
      <c r="E64" s="3">
        <v>1.35</v>
      </c>
      <c r="F64" s="15">
        <f>$G$28+$E$64*$J$57</f>
        <v>117.98190000000001</v>
      </c>
      <c r="G64" s="16"/>
      <c r="H64" s="3">
        <f>$I$28+$J$28*$F$13</f>
        <v>0</v>
      </c>
      <c r="I64" s="3">
        <f>$H$28-$K$28*$F$13</f>
        <v>-6.8849999999999998</v>
      </c>
      <c r="J64" s="5">
        <f>IF($F$64&gt;0,ABS($H$64)/$F$64,"N ≤ 0")</f>
        <v>0</v>
      </c>
      <c r="K64" s="5">
        <f>IF($F$64&gt;0,ABS($I$64)/$F$64,"N ≤ 0")</f>
        <v>5.8356408906789933E-2</v>
      </c>
    </row>
    <row r="65" spans="2:11" x14ac:dyDescent="0.25">
      <c r="B65" s="22" t="s">
        <v>75</v>
      </c>
      <c r="C65" s="23"/>
      <c r="D65" s="23"/>
      <c r="E65" s="3">
        <v>1.35</v>
      </c>
      <c r="F65" s="15">
        <f>$G$29+$E$65*$J$57</f>
        <v>72.98190000000001</v>
      </c>
      <c r="G65" s="16"/>
      <c r="H65" s="3">
        <f>$I$29+$J$29*$F$13</f>
        <v>0</v>
      </c>
      <c r="I65" s="3">
        <f>$H$29-$K$29*$F$13</f>
        <v>16.064999999999998</v>
      </c>
      <c r="J65" s="5">
        <f>IF($F$65&gt;0,ABS($H$65)/$F$65,"N ≤ 0")</f>
        <v>0</v>
      </c>
      <c r="K65" s="5">
        <f>IF($F$65&gt;0,ABS($I$65)/$F$65,"N ≤ 0")</f>
        <v>0.22012307161090619</v>
      </c>
    </row>
    <row r="66" spans="2:11" x14ac:dyDescent="0.25">
      <c r="B66" s="22" t="s">
        <v>76</v>
      </c>
      <c r="C66" s="23"/>
      <c r="D66" s="23"/>
      <c r="E66" s="3">
        <v>1.35</v>
      </c>
      <c r="F66" s="15">
        <f>$G$30+$E$66*$J$57</f>
        <v>117.98190000000001</v>
      </c>
      <c r="G66" s="16"/>
      <c r="H66" s="3">
        <f>$I$30+$J$30*$F$13</f>
        <v>0</v>
      </c>
      <c r="I66" s="3">
        <f>$H$30-$K$30*$F$13</f>
        <v>-6.8849999999999998</v>
      </c>
      <c r="J66" s="5">
        <f>IF($F$66&gt;0,ABS($H$66)/$F$66,"N ≤ 0")</f>
        <v>0</v>
      </c>
      <c r="K66" s="5">
        <f>IF($F$66&gt;0,ABS($I$66)/$F$66,"N ≤ 0")</f>
        <v>5.8356408906789933E-2</v>
      </c>
    </row>
    <row r="67" spans="2:11" x14ac:dyDescent="0.25">
      <c r="B67" s="22" t="s">
        <v>77</v>
      </c>
      <c r="C67" s="23"/>
      <c r="D67" s="23"/>
      <c r="E67" s="3">
        <v>1</v>
      </c>
      <c r="F67" s="15">
        <f>$G$31+$E$67*$J$57</f>
        <v>42.394000000000005</v>
      </c>
      <c r="G67" s="16"/>
      <c r="H67" s="3">
        <f>$I$31+$J$31*$F$13</f>
        <v>0</v>
      </c>
      <c r="I67" s="3">
        <f>$H$31-$K$31*$F$13</f>
        <v>17.849999999999998</v>
      </c>
      <c r="J67" s="5">
        <f>IF($F$67&gt;0,ABS($H$67)/$F$67,"N ≤ 0")</f>
        <v>0</v>
      </c>
      <c r="K67" s="5">
        <f>IF($F$67&gt;0,ABS($I$67)/$F$67,"N ≤ 0")</f>
        <v>0.4210501486059347</v>
      </c>
    </row>
    <row r="68" spans="2:11" x14ac:dyDescent="0.25">
      <c r="B68" s="22" t="s">
        <v>78</v>
      </c>
      <c r="C68" s="23"/>
      <c r="D68" s="23"/>
      <c r="E68" s="3">
        <v>1</v>
      </c>
      <c r="F68" s="15">
        <f>$G$32+$E$68*$J$57</f>
        <v>87.394000000000005</v>
      </c>
      <c r="G68" s="16"/>
      <c r="H68" s="3">
        <f>$I$32+$J$32*$F$13</f>
        <v>0</v>
      </c>
      <c r="I68" s="3">
        <f>$H$32-$K$32*$F$13</f>
        <v>-5.0999999999999996</v>
      </c>
      <c r="J68" s="5">
        <f>IF($F$68&gt;0,ABS($H$68)/$F$68,"N ≤ 0")</f>
        <v>0</v>
      </c>
      <c r="K68" s="5">
        <f>IF($F$68&gt;0,ABS($I$68)/$F$68,"N ≤ 0")</f>
        <v>5.8356408906789933E-2</v>
      </c>
    </row>
    <row r="69" spans="2:11" x14ac:dyDescent="0.25">
      <c r="B69" s="22" t="s">
        <v>79</v>
      </c>
      <c r="C69" s="23"/>
      <c r="D69" s="23"/>
      <c r="E69" s="3">
        <v>1.35</v>
      </c>
      <c r="F69" s="15">
        <f>$G$33+$E$69*$J$57</f>
        <v>88.281900000000007</v>
      </c>
      <c r="G69" s="16"/>
      <c r="H69" s="3">
        <f>$I$33+$J$33*$F$13</f>
        <v>0</v>
      </c>
      <c r="I69" s="3">
        <f>$H$33-$K$33*$F$13</f>
        <v>13.77</v>
      </c>
      <c r="J69" s="5">
        <f>IF($F$69&gt;0,ABS($H$69)/$F$69,"N ≤ 0")</f>
        <v>0</v>
      </c>
      <c r="K69" s="5">
        <f>IF($F$69&gt;0,ABS($I$69)/$F$69,"N ≤ 0")</f>
        <v>0.15597761262501145</v>
      </c>
    </row>
    <row r="70" spans="2:11" x14ac:dyDescent="0.25">
      <c r="B70" s="22" t="s">
        <v>80</v>
      </c>
      <c r="C70" s="23"/>
      <c r="D70" s="23"/>
      <c r="E70" s="3">
        <v>1.35</v>
      </c>
      <c r="F70" s="15">
        <f>$G$34+$E$70*$J$57</f>
        <v>128.78190000000001</v>
      </c>
      <c r="G70" s="16"/>
      <c r="H70" s="3">
        <f>$I$34+$J$34*$F$13</f>
        <v>0</v>
      </c>
      <c r="I70" s="3">
        <f>$H$34-$K$34*$F$13</f>
        <v>-6.8849999999999998</v>
      </c>
      <c r="J70" s="5">
        <f>IF($F$70&gt;0,ABS($H$70)/$F$70,"N ≤ 0")</f>
        <v>0</v>
      </c>
      <c r="K70" s="5">
        <f>IF($F$70&gt;0,ABS($I$70)/$F$70,"N ≤ 0")</f>
        <v>5.3462481917101699E-2</v>
      </c>
    </row>
    <row r="71" spans="2:11" x14ac:dyDescent="0.25">
      <c r="B71" s="22" t="s">
        <v>81</v>
      </c>
      <c r="C71" s="23"/>
      <c r="D71" s="23"/>
      <c r="E71" s="3">
        <v>1.35</v>
      </c>
      <c r="F71" s="15">
        <f>$G$35+$E$71*$J$57</f>
        <v>77.48190000000001</v>
      </c>
      <c r="G71" s="16"/>
      <c r="H71" s="3">
        <f>$I$35+$J$35*$F$13</f>
        <v>0</v>
      </c>
      <c r="I71" s="3">
        <f>$H$35-$K$35*$F$13</f>
        <v>13.77</v>
      </c>
      <c r="J71" s="5">
        <f>IF($F$71&gt;0,ABS($H$71)/$F$71,"N ≤ 0")</f>
        <v>0</v>
      </c>
      <c r="K71" s="5">
        <f>IF($F$71&gt;0,ABS($I$71)/$F$71,"N ≤ 0")</f>
        <v>0.17771892532320449</v>
      </c>
    </row>
    <row r="72" spans="2:11" x14ac:dyDescent="0.25">
      <c r="B72" s="22" t="s">
        <v>82</v>
      </c>
      <c r="C72" s="23"/>
      <c r="D72" s="23"/>
      <c r="E72" s="3">
        <v>1.35</v>
      </c>
      <c r="F72" s="15">
        <f>$G$36+$E$72*$J$57</f>
        <v>117.98190000000001</v>
      </c>
      <c r="G72" s="16"/>
      <c r="H72" s="3">
        <f>$I$36+$J$36*$F$13</f>
        <v>0</v>
      </c>
      <c r="I72" s="3">
        <f>$H$36-$K$36*$F$13</f>
        <v>-6.8849999999999998</v>
      </c>
      <c r="J72" s="5">
        <f>IF($F$72&gt;0,ABS($H$72)/$F$72,"N ≤ 0")</f>
        <v>0</v>
      </c>
      <c r="K72" s="5">
        <f>IF($F$72&gt;0,ABS($I$72)/$F$72,"N ≤ 0")</f>
        <v>5.8356408906789933E-2</v>
      </c>
    </row>
    <row r="73" spans="2:11" x14ac:dyDescent="0.25">
      <c r="B73" s="22" t="s">
        <v>83</v>
      </c>
      <c r="C73" s="23"/>
      <c r="D73" s="23"/>
      <c r="E73" s="3">
        <v>1</v>
      </c>
      <c r="F73" s="15">
        <f>$G$37+$E$73*$J$57</f>
        <v>95.394000000000005</v>
      </c>
      <c r="G73" s="16"/>
      <c r="H73" s="3">
        <f>$I$37+$J$37*$F$13</f>
        <v>0</v>
      </c>
      <c r="I73" s="3">
        <f>$H$37-$K$37*$F$13</f>
        <v>-5.0999999999999996</v>
      </c>
      <c r="J73" s="5">
        <f>IF($F$73&gt;0,ABS($H$73)/$F$73,"N ≤ 0")</f>
        <v>0</v>
      </c>
      <c r="K73" s="5">
        <f>IF($F$73&gt;0,ABS($I$73)/$F$73,"N ≤ 0")</f>
        <v>5.3462481917101699E-2</v>
      </c>
    </row>
    <row r="74" spans="2:11" x14ac:dyDescent="0.25">
      <c r="B74" s="22" t="s">
        <v>85</v>
      </c>
      <c r="C74" s="23"/>
      <c r="D74" s="23"/>
      <c r="E74" s="3">
        <v>1</v>
      </c>
      <c r="F74" s="15">
        <f>$G$38+$E$74*$J$57</f>
        <v>87.394000000000005</v>
      </c>
      <c r="G74" s="16"/>
      <c r="H74" s="3">
        <f>$I$38+$J$38*$F$13</f>
        <v>0</v>
      </c>
      <c r="I74" s="3">
        <f>$H$38-$K$38*$F$13</f>
        <v>-5.0999999999999996</v>
      </c>
      <c r="J74" s="5">
        <f>IF($F$74&gt;0,ABS($H$74)/$F$74,"N ≤ 0")</f>
        <v>0</v>
      </c>
      <c r="K74" s="5">
        <f>IF($F$74&gt;0,ABS($I$74)/$F$74,"N ≤ 0")</f>
        <v>5.8356408906789933E-2</v>
      </c>
    </row>
    <row r="75" spans="2:11" x14ac:dyDescent="0.25">
      <c r="B75" s="22" t="s">
        <v>86</v>
      </c>
      <c r="C75" s="23"/>
      <c r="D75" s="23"/>
      <c r="E75" s="3">
        <v>1</v>
      </c>
      <c r="F75" s="15">
        <f>$G$39+$E$75*$J$57</f>
        <v>57.394000000000005</v>
      </c>
      <c r="G75" s="16"/>
      <c r="H75" s="3">
        <f>$I$39+$J$39*$F$13</f>
        <v>0</v>
      </c>
      <c r="I75" s="3">
        <f>$H$39-$K$39*$F$13</f>
        <v>10.199999999999999</v>
      </c>
      <c r="J75" s="5">
        <f>IF($F$75&gt;0,ABS($H$75)/$F$75,"N ≤ 0")</f>
        <v>0</v>
      </c>
      <c r="K75" s="5">
        <f>IF($F$75&gt;0,ABS($I$75)/$F$75,"N ≤ 0")</f>
        <v>0.17771892532320449</v>
      </c>
    </row>
    <row r="76" spans="2:11" x14ac:dyDescent="0.25">
      <c r="B76" s="22" t="s">
        <v>87</v>
      </c>
      <c r="C76" s="23"/>
      <c r="D76" s="23"/>
      <c r="E76" s="3">
        <v>1</v>
      </c>
      <c r="F76" s="15">
        <f>$G$40+$E$76*$J$57</f>
        <v>87.394000000000005</v>
      </c>
      <c r="G76" s="16"/>
      <c r="H76" s="3">
        <f>$I$40+$J$40*$F$13</f>
        <v>0</v>
      </c>
      <c r="I76" s="3">
        <f>$H$40-$K$40*$F$13</f>
        <v>-5.0999999999999996</v>
      </c>
      <c r="J76" s="5">
        <f>IF($F$76&gt;0,ABS($H$76)/$F$76,"N ≤ 0")</f>
        <v>0</v>
      </c>
      <c r="K76" s="5">
        <f>IF($F$76&gt;0,ABS($I$76)/$F$76,"N ≤ 0")</f>
        <v>5.8356408906789933E-2</v>
      </c>
    </row>
    <row r="77" spans="2:11" x14ac:dyDescent="0.25">
      <c r="B77" s="22" t="s">
        <v>88</v>
      </c>
      <c r="C77" s="23"/>
      <c r="D77" s="23"/>
      <c r="E77" s="3">
        <v>1</v>
      </c>
      <c r="F77" s="15">
        <f>$G$41+$E$77*$J$57</f>
        <v>67.594000000000008</v>
      </c>
      <c r="G77" s="16"/>
      <c r="H77" s="3">
        <f>$I$41+$J$41*$F$13</f>
        <v>0</v>
      </c>
      <c r="I77" s="3">
        <f>$H$41-$K$41*$F$13</f>
        <v>8.67</v>
      </c>
      <c r="J77" s="5">
        <f>IF($F$77&gt;0,ABS($H$77)/$F$77,"N ≤ 0")</f>
        <v>0</v>
      </c>
      <c r="K77" s="5">
        <f>IF($F$77&gt;0,ABS($I$77)/$F$77,"N ≤ 0")</f>
        <v>0.12826582241027309</v>
      </c>
    </row>
    <row r="78" spans="2:11" x14ac:dyDescent="0.25">
      <c r="B78" s="22" t="s">
        <v>89</v>
      </c>
      <c r="C78" s="23"/>
      <c r="D78" s="23"/>
      <c r="E78" s="3">
        <v>1</v>
      </c>
      <c r="F78" s="15">
        <f>$G$42+$E$78*$J$57</f>
        <v>94.594000000000008</v>
      </c>
      <c r="G78" s="16"/>
      <c r="H78" s="3">
        <f>$I$42+$J$42*$F$13</f>
        <v>0</v>
      </c>
      <c r="I78" s="3">
        <f>$H$42-$K$42*$F$13</f>
        <v>-5.0999999999999996</v>
      </c>
      <c r="J78" s="5">
        <f>IF($F$78&gt;0,ABS($H$78)/$F$78,"N ≤ 0")</f>
        <v>0</v>
      </c>
      <c r="K78" s="5">
        <f>IF($F$78&gt;0,ABS($I$78)/$F$78,"N ≤ 0")</f>
        <v>5.3914624606211804E-2</v>
      </c>
    </row>
    <row r="79" spans="2:11" x14ac:dyDescent="0.25">
      <c r="B79" s="22" t="s">
        <v>90</v>
      </c>
      <c r="C79" s="23"/>
      <c r="D79" s="23"/>
      <c r="E79" s="3">
        <v>1</v>
      </c>
      <c r="F79" s="15">
        <f>$G$43+$E$79*$J$57</f>
        <v>100.59400000000001</v>
      </c>
      <c r="G79" s="16"/>
      <c r="H79" s="3">
        <f>$I$43+$J$43*$F$13</f>
        <v>36.72</v>
      </c>
      <c r="I79" s="3">
        <f>$H$43-$K$43*$F$13</f>
        <v>-5.0999999999999996</v>
      </c>
      <c r="J79" s="5">
        <f>IF($F$79&gt;0,ABS($H$79)/$F$79,"N ≤ 0")</f>
        <v>0.36503171163290055</v>
      </c>
      <c r="K79" s="5">
        <f>IF($F$79&gt;0,ABS($I$79)/$F$79,"N ≤ 0")</f>
        <v>5.0698848837902849E-2</v>
      </c>
    </row>
    <row r="80" spans="2:11" x14ac:dyDescent="0.25">
      <c r="B80" s="22" t="s">
        <v>92</v>
      </c>
      <c r="C80" s="23"/>
      <c r="D80" s="23"/>
      <c r="E80" s="3">
        <v>1</v>
      </c>
      <c r="F80" s="15">
        <f>$G$44+$E$80*$J$57</f>
        <v>100.59400000000001</v>
      </c>
      <c r="G80" s="16"/>
      <c r="H80" s="3">
        <f>$I$44+$J$44*$F$13</f>
        <v>36.72</v>
      </c>
      <c r="I80" s="3">
        <f>$H$44-$K$44*$F$13</f>
        <v>-5.0999999999999996</v>
      </c>
      <c r="J80" s="5">
        <f>IF($F$80&gt;0,ABS($H$80)/$F$80,"N ≤ 0")</f>
        <v>0.36503171163290055</v>
      </c>
      <c r="K80" s="5">
        <f>IF($F$80&gt;0,ABS($I$80)/$F$80,"N ≤ 0")</f>
        <v>5.0698848837902849E-2</v>
      </c>
    </row>
    <row r="81" spans="2:11" x14ac:dyDescent="0.25">
      <c r="B81" s="22" t="s">
        <v>93</v>
      </c>
      <c r="C81" s="23"/>
      <c r="D81" s="23"/>
      <c r="E81" s="3">
        <v>1</v>
      </c>
      <c r="F81" s="15">
        <f>$G$45+$E$81*$J$57</f>
        <v>93.034000000000006</v>
      </c>
      <c r="G81" s="16"/>
      <c r="H81" s="3">
        <f>$I$45+$J$45*$F$13</f>
        <v>11.016</v>
      </c>
      <c r="I81" s="3">
        <f>$H$45-$K$45*$F$13</f>
        <v>-5.0999999999999996</v>
      </c>
      <c r="J81" s="5">
        <f>IF($F$81&gt;0,ABS($H$81)/$F$81,"N ≤ 0")</f>
        <v>0.11840832383859663</v>
      </c>
      <c r="K81" s="5">
        <f>IF($F$81&gt;0,ABS($I$81)/$F$81,"N ≤ 0")</f>
        <v>5.4818668443794731E-2</v>
      </c>
    </row>
    <row r="82" spans="2:11" x14ac:dyDescent="0.25">
      <c r="B82" s="22" t="s">
        <v>94</v>
      </c>
      <c r="C82" s="23"/>
      <c r="D82" s="23"/>
      <c r="E82" s="3">
        <v>1</v>
      </c>
      <c r="F82" s="15">
        <f>$G$46+$E$82*$J$57</f>
        <v>93.034000000000006</v>
      </c>
      <c r="G82" s="16"/>
      <c r="H82" s="3">
        <f>$I$46+$J$46*$F$13</f>
        <v>11.016</v>
      </c>
      <c r="I82" s="3">
        <f>$H$46-$K$46*$F$13</f>
        <v>-5.0999999999999996</v>
      </c>
      <c r="J82" s="5">
        <f>IF($F$82&gt;0,ABS($H$82)/$F$82,"N ≤ 0")</f>
        <v>0.11840832383859663</v>
      </c>
      <c r="K82" s="5">
        <f>IF($F$82&gt;0,ABS($I$82)/$F$82,"N ≤ 0")</f>
        <v>5.4818668443794731E-2</v>
      </c>
    </row>
    <row r="83" spans="2:11" x14ac:dyDescent="0.25">
      <c r="B83" s="22" t="s">
        <v>95</v>
      </c>
      <c r="C83" s="23"/>
      <c r="D83" s="23"/>
      <c r="E83" s="3">
        <v>1</v>
      </c>
      <c r="F83" s="15">
        <f>$G$47+$E$83*$J$57</f>
        <v>78.994</v>
      </c>
      <c r="G83" s="16"/>
      <c r="H83" s="3">
        <f>$I$47+$J$47*$F$13</f>
        <v>-36.72</v>
      </c>
      <c r="I83" s="3">
        <f>$H$47-$K$47*$F$13</f>
        <v>-5.0999999999999996</v>
      </c>
      <c r="J83" s="5">
        <f>IF($F$83&gt;0,ABS($H$83)/$F$83,"N ≤ 0")</f>
        <v>0.46484543129857964</v>
      </c>
      <c r="K83" s="5">
        <f>IF($F$83&gt;0,ABS($I$83)/$F$83,"N ≤ 0")</f>
        <v>6.4561865458136053E-2</v>
      </c>
    </row>
    <row r="84" spans="2:11" x14ac:dyDescent="0.25">
      <c r="B84" s="22" t="s">
        <v>96</v>
      </c>
      <c r="C84" s="23"/>
      <c r="D84" s="23"/>
      <c r="E84" s="3">
        <v>1</v>
      </c>
      <c r="F84" s="15">
        <f>$G$48+$E$84*$J$57</f>
        <v>78.994</v>
      </c>
      <c r="G84" s="16"/>
      <c r="H84" s="3">
        <f>$I$48+$J$48*$F$13</f>
        <v>-36.72</v>
      </c>
      <c r="I84" s="3">
        <f>$H$48-$K$48*$F$13</f>
        <v>-5.0999999999999996</v>
      </c>
      <c r="J84" s="5">
        <f>IF($F$84&gt;0,ABS($H$84)/$F$84,"N ≤ 0")</f>
        <v>0.46484543129857964</v>
      </c>
      <c r="K84" s="5">
        <f>IF($F$84&gt;0,ABS($I$84)/$F$84,"N ≤ 0")</f>
        <v>6.4561865458136053E-2</v>
      </c>
    </row>
    <row r="85" spans="2:11" x14ac:dyDescent="0.25">
      <c r="B85" s="22" t="s">
        <v>97</v>
      </c>
      <c r="C85" s="23"/>
      <c r="D85" s="23"/>
      <c r="E85" s="3">
        <v>1</v>
      </c>
      <c r="F85" s="15">
        <f>$G$49+$E$85*$J$57</f>
        <v>86.554000000000002</v>
      </c>
      <c r="G85" s="16"/>
      <c r="H85" s="3">
        <f>$I$49+$J$49*$F$13</f>
        <v>-11.016</v>
      </c>
      <c r="I85" s="3">
        <f>$H$49-$K$49*$F$13</f>
        <v>-5.0999999999999996</v>
      </c>
      <c r="J85" s="5">
        <f>IF($F$85&gt;0,ABS($H$85)/$F$85,"N ≤ 0")</f>
        <v>0.12727314739931142</v>
      </c>
      <c r="K85" s="5">
        <f>IF($F$85&gt;0,ABS($I$85)/$F$85,"N ≤ 0")</f>
        <v>5.8922753425607127E-2</v>
      </c>
    </row>
    <row r="86" spans="2:11" x14ac:dyDescent="0.25">
      <c r="B86" s="22" t="s">
        <v>98</v>
      </c>
      <c r="C86" s="23"/>
      <c r="D86" s="23"/>
      <c r="E86" s="3">
        <v>1</v>
      </c>
      <c r="F86" s="15">
        <f>$G$50+$E$86*$J$57</f>
        <v>86.554000000000002</v>
      </c>
      <c r="G86" s="16"/>
      <c r="H86" s="3">
        <f>$I$50+$J$50*$F$13</f>
        <v>-11.016</v>
      </c>
      <c r="I86" s="3">
        <f>$H$50-$K$50*$F$13</f>
        <v>-5.0999999999999996</v>
      </c>
      <c r="J86" s="5">
        <f>IF($F$86&gt;0,ABS($H$86)/$F$86,"N ≤ 0")</f>
        <v>0.12727314739931142</v>
      </c>
      <c r="K86" s="5">
        <f>IF($F$86&gt;0,ABS($I$86)/$F$86,"N ≤ 0")</f>
        <v>5.8922753425607127E-2</v>
      </c>
    </row>
    <row r="88" spans="2:11" ht="20.100000000000001" customHeight="1" x14ac:dyDescent="0.25">
      <c r="B88" s="19" t="s">
        <v>124</v>
      </c>
      <c r="C88" s="18"/>
      <c r="D88" s="18"/>
      <c r="E88" s="18"/>
      <c r="F88" s="18"/>
      <c r="G88" s="18"/>
      <c r="H88" s="18"/>
      <c r="I88" s="18"/>
      <c r="J88" s="18"/>
      <c r="K88" s="18"/>
    </row>
    <row r="89" spans="2:11" ht="15" customHeight="1" x14ac:dyDescent="0.25">
      <c r="B89" s="24" t="s">
        <v>125</v>
      </c>
      <c r="C89" s="25"/>
      <c r="D89" s="25"/>
      <c r="E89" s="25"/>
      <c r="F89" s="25"/>
      <c r="G89" s="25"/>
      <c r="H89" s="25"/>
      <c r="I89" s="25"/>
      <c r="J89" s="25"/>
      <c r="K89" s="25"/>
    </row>
    <row r="90" spans="2:11" ht="20.100000000000001" customHeight="1" x14ac:dyDescent="0.25">
      <c r="B90" s="1" t="s">
        <v>63</v>
      </c>
      <c r="C90" s="1" t="s">
        <v>114</v>
      </c>
      <c r="D90" s="1" t="s">
        <v>117</v>
      </c>
      <c r="E90" s="1" t="s">
        <v>126</v>
      </c>
      <c r="F90" s="1" t="s">
        <v>127</v>
      </c>
      <c r="G90" s="1" t="s">
        <v>128</v>
      </c>
      <c r="H90" s="1" t="s">
        <v>129</v>
      </c>
      <c r="I90" s="1" t="s">
        <v>130</v>
      </c>
      <c r="J90" s="1" t="s">
        <v>131</v>
      </c>
      <c r="K90" s="1" t="s">
        <v>49</v>
      </c>
    </row>
    <row r="91" spans="2:11" ht="30" customHeight="1" x14ac:dyDescent="0.25">
      <c r="B91" s="2"/>
      <c r="C91" s="2"/>
      <c r="D91" s="2"/>
      <c r="E91" s="2"/>
      <c r="F91" s="2" t="s">
        <v>132</v>
      </c>
      <c r="G91" s="2" t="s">
        <v>133</v>
      </c>
      <c r="H91" s="2" t="s">
        <v>134</v>
      </c>
      <c r="I91" s="2"/>
      <c r="J91" s="2" t="s">
        <v>135</v>
      </c>
      <c r="K91" s="2"/>
    </row>
    <row r="92" spans="2:11" ht="25.5" x14ac:dyDescent="0.25">
      <c r="B92" s="7" t="s">
        <v>71</v>
      </c>
      <c r="C92" s="10">
        <f>$F$63</f>
        <v>129.9819</v>
      </c>
      <c r="D92" s="5">
        <f>$J$63</f>
        <v>0</v>
      </c>
      <c r="E92" s="11" t="str">
        <f>IF($F$63&lt;=0,"N ≤ 0 : soulèvement",IF($J$63&lt;=$E$18/6+0.000001,"e &lt; A/6 =&gt; Diagramme Trapézoïdal",IF($J$63&lt;$E$18/2,"e &gt; A/6 =&gt; Diagramme triangulaire","e ≥ A/2 : instable")))</f>
        <v>e &lt; A/6 =&gt; Diagramme Trapézoïdal</v>
      </c>
      <c r="F92" s="3">
        <f>IF($F$63&lt;=0,0,IF($J$63&lt;=$E$18/6+0.000001,$F$63/($E$18*$F$18)*(1+6*$J$63/$E$18),IF($J$63&lt;$E$18/2,2*$F$63/(3*$F$18*($E$18/2-$J$63)),1000000000)))/100</f>
        <v>0.76912366863905324</v>
      </c>
      <c r="G92" s="3">
        <f>IF($F$63&lt;=0,0,IF($J$63&lt;=$E$18/6+0.000001,$F$63/($E$18*$F$18)*(1-6*$J$63/$E$18),0))/100</f>
        <v>0.76912366863905324</v>
      </c>
      <c r="H92" s="10">
        <f>(3*$F$92+$G$92)/4</f>
        <v>0.76912366863905324</v>
      </c>
      <c r="I92" s="3">
        <f t="shared" ref="I92:I101" si="0">$C$10</f>
        <v>3</v>
      </c>
      <c r="J92" s="12">
        <f>$H$92/$I$92</f>
        <v>0.25637455621301775</v>
      </c>
      <c r="K92" s="9" t="str">
        <f>IF($H$92&lt;=$I$92+0.00001,"OK","NON OK")</f>
        <v>OK</v>
      </c>
    </row>
    <row r="93" spans="2:11" ht="25.5" x14ac:dyDescent="0.25">
      <c r="B93" s="7" t="s">
        <v>74</v>
      </c>
      <c r="C93" s="10">
        <f>$F$64</f>
        <v>117.98190000000001</v>
      </c>
      <c r="D93" s="5">
        <f>$J$64</f>
        <v>0</v>
      </c>
      <c r="E93" s="11" t="str">
        <f>IF($F$64&lt;=0,"N ≤ 0 : soulèvement",IF($J$64&lt;=$E$18/6+0.000001,"e &lt; A/6 =&gt; Diagramme Trapézoïdal",IF($J$64&lt;$E$18/2,"e &gt; A/6 =&gt; Diagramme triangulaire","e ≥ A/2 : instable")))</f>
        <v>e &lt; A/6 =&gt; Diagramme Trapézoïdal</v>
      </c>
      <c r="F93" s="3">
        <f>IF($F$64&lt;=0,0,IF($J$64&lt;=$E$18/6+0.000001,$F$64/($E$18*$F$18)*(1+6*$J$64/$E$18),IF($J$64&lt;$E$18/2,2*$F$64/(3*$F$18*($E$18/2-$J$64)),1000000000)))/100</f>
        <v>0.69811775147929001</v>
      </c>
      <c r="G93" s="3">
        <f>IF($F$64&lt;=0,0,IF($J$64&lt;=$E$18/6+0.000001,$F$64/($E$18*$F$18)*(1-6*$J$64/$E$18),0))/100</f>
        <v>0.69811775147929001</v>
      </c>
      <c r="H93" s="10">
        <f>(3*$F$93+$G$93)/4</f>
        <v>0.69811775147929001</v>
      </c>
      <c r="I93" s="3">
        <f t="shared" si="0"/>
        <v>3</v>
      </c>
      <c r="J93" s="12">
        <f>$H$93/$I$93</f>
        <v>0.23270591715976333</v>
      </c>
      <c r="K93" s="9" t="str">
        <f>IF($H$93&lt;=$I$93+0.00001,"OK","NON OK")</f>
        <v>OK</v>
      </c>
    </row>
    <row r="94" spans="2:11" ht="25.5" x14ac:dyDescent="0.25">
      <c r="B94" s="7" t="s">
        <v>75</v>
      </c>
      <c r="C94" s="10">
        <f>$F$65</f>
        <v>72.98190000000001</v>
      </c>
      <c r="D94" s="5">
        <f>$J$65</f>
        <v>0</v>
      </c>
      <c r="E94" s="11" t="str">
        <f>IF($F$65&lt;=0,"N ≤ 0 : soulèvement",IF($J$65&lt;=$E$18/6+0.000001,"e &lt; A/6 =&gt; Diagramme Trapézoïdal",IF($J$65&lt;$E$18/2,"e &gt; A/6 =&gt; Diagramme triangulaire","e ≥ A/2 : instable")))</f>
        <v>e &lt; A/6 =&gt; Diagramme Trapézoïdal</v>
      </c>
      <c r="F94" s="3">
        <f>IF($F$65&lt;=0,0,IF($J$65&lt;=$E$18/6+0.000001,$F$65/($E$18*$F$18)*(1+6*$J$65/$E$18),IF($J$65&lt;$E$18/2,2*$F$65/(3*$F$18*($E$18/2-$J$65)),1000000000)))/100</f>
        <v>0.4318455621301775</v>
      </c>
      <c r="G94" s="3">
        <f>IF($F$65&lt;=0,0,IF($J$65&lt;=$E$18/6+0.000001,$F$65/($E$18*$F$18)*(1-6*$J$65/$E$18),0))/100</f>
        <v>0.4318455621301775</v>
      </c>
      <c r="H94" s="10">
        <f>(3*$F$94+$G$94)/4</f>
        <v>0.4318455621301775</v>
      </c>
      <c r="I94" s="3">
        <f t="shared" si="0"/>
        <v>3</v>
      </c>
      <c r="J94" s="12">
        <f>$H$94/$I$94</f>
        <v>0.14394852071005917</v>
      </c>
      <c r="K94" s="9" t="str">
        <f>IF($H$94&lt;=$I$94+0.00001,"OK","NON OK")</f>
        <v>OK</v>
      </c>
    </row>
    <row r="95" spans="2:11" ht="25.5" x14ac:dyDescent="0.25">
      <c r="B95" s="7" t="s">
        <v>76</v>
      </c>
      <c r="C95" s="10">
        <f>$F$66</f>
        <v>117.98190000000001</v>
      </c>
      <c r="D95" s="5">
        <f>$J$66</f>
        <v>0</v>
      </c>
      <c r="E95" s="11" t="str">
        <f>IF($F$66&lt;=0,"N ≤ 0 : soulèvement",IF($J$66&lt;=$E$18/6+0.000001,"e &lt; A/6 =&gt; Diagramme Trapézoïdal",IF($J$66&lt;$E$18/2,"e &gt; A/6 =&gt; Diagramme triangulaire","e ≥ A/2 : instable")))</f>
        <v>e &lt; A/6 =&gt; Diagramme Trapézoïdal</v>
      </c>
      <c r="F95" s="3">
        <f>IF($F$66&lt;=0,0,IF($J$66&lt;=$E$18/6+0.000001,$F$66/($E$18*$F$18)*(1+6*$J$66/$E$18),IF($J$66&lt;$E$18/2,2*$F$66/(3*$F$18*($E$18/2-$J$66)),1000000000)))/100</f>
        <v>0.69811775147929001</v>
      </c>
      <c r="G95" s="3">
        <f>IF($F$66&lt;=0,0,IF($J$66&lt;=$E$18/6+0.000001,$F$66/($E$18*$F$18)*(1-6*$J$66/$E$18),0))/100</f>
        <v>0.69811775147929001</v>
      </c>
      <c r="H95" s="10">
        <f>(3*$F$95+$G$95)/4</f>
        <v>0.69811775147929001</v>
      </c>
      <c r="I95" s="3">
        <f t="shared" si="0"/>
        <v>3</v>
      </c>
      <c r="J95" s="12">
        <f>$H$95/$I$95</f>
        <v>0.23270591715976333</v>
      </c>
      <c r="K95" s="9" t="str">
        <f>IF($H$95&lt;=$I$95+0.00001,"OK","NON OK")</f>
        <v>OK</v>
      </c>
    </row>
    <row r="96" spans="2:11" ht="25.5" x14ac:dyDescent="0.25">
      <c r="B96" s="7" t="s">
        <v>77</v>
      </c>
      <c r="C96" s="10">
        <f>$F$67</f>
        <v>42.394000000000005</v>
      </c>
      <c r="D96" s="5">
        <f>$J$67</f>
        <v>0</v>
      </c>
      <c r="E96" s="11" t="str">
        <f>IF($F$67&lt;=0,"N ≤ 0 : soulèvement",IF($J$67&lt;=$E$18/6+0.000001,"e &lt; A/6 =&gt; Diagramme Trapézoïdal",IF($J$67&lt;$E$18/2,"e &gt; A/6 =&gt; Diagramme triangulaire","e ≥ A/2 : instable")))</f>
        <v>e &lt; A/6 =&gt; Diagramme Trapézoïdal</v>
      </c>
      <c r="F96" s="3">
        <f>IF($F$67&lt;=0,0,IF($J$67&lt;=$E$18/6+0.000001,$F$67/($E$18*$F$18)*(1+6*$J$67/$E$18),IF($J$67&lt;$E$18/2,2*$F$67/(3*$F$18*($E$18/2-$J$67)),1000000000)))/100</f>
        <v>0.25085207100591717</v>
      </c>
      <c r="G96" s="3">
        <f>IF($F$67&lt;=0,0,IF($J$67&lt;=$E$18/6+0.000001,$F$67/($E$18*$F$18)*(1-6*$J$67/$E$18),0))/100</f>
        <v>0.25085207100591717</v>
      </c>
      <c r="H96" s="10">
        <f>(3*$F$96+$G$96)/4</f>
        <v>0.25085207100591717</v>
      </c>
      <c r="I96" s="3">
        <f t="shared" si="0"/>
        <v>3</v>
      </c>
      <c r="J96" s="12">
        <f>$H$96/$I$96</f>
        <v>8.3617357001972384E-2</v>
      </c>
      <c r="K96" s="9" t="str">
        <f>IF($H$96&lt;=$I$96+0.00001,"OK","NON OK")</f>
        <v>OK</v>
      </c>
    </row>
    <row r="97" spans="2:11" ht="25.5" x14ac:dyDescent="0.25">
      <c r="B97" s="7" t="s">
        <v>78</v>
      </c>
      <c r="C97" s="10">
        <f>$F$68</f>
        <v>87.394000000000005</v>
      </c>
      <c r="D97" s="5">
        <f>$J$68</f>
        <v>0</v>
      </c>
      <c r="E97" s="11" t="str">
        <f>IF($F$68&lt;=0,"N ≤ 0 : soulèvement",IF($J$68&lt;=$E$18/6+0.000001,"e &lt; A/6 =&gt; Diagramme Trapézoïdal",IF($J$68&lt;$E$18/2,"e &gt; A/6 =&gt; Diagramme triangulaire","e ≥ A/2 : instable")))</f>
        <v>e &lt; A/6 =&gt; Diagramme Trapézoïdal</v>
      </c>
      <c r="F97" s="3">
        <f>IF($F$68&lt;=0,0,IF($J$68&lt;=$E$18/6+0.000001,$F$68/($E$18*$F$18)*(1+6*$J$68/$E$18),IF($J$68&lt;$E$18/2,2*$F$68/(3*$F$18*($E$18/2-$J$68)),1000000000)))/100</f>
        <v>0.51712426035502956</v>
      </c>
      <c r="G97" s="3">
        <f>IF($F$68&lt;=0,0,IF($J$68&lt;=$E$18/6+0.000001,$F$68/($E$18*$F$18)*(1-6*$J$68/$E$18),0))/100</f>
        <v>0.51712426035502956</v>
      </c>
      <c r="H97" s="10">
        <f>(3*$F$97+$G$97)/4</f>
        <v>0.51712426035502956</v>
      </c>
      <c r="I97" s="3">
        <f t="shared" si="0"/>
        <v>3</v>
      </c>
      <c r="J97" s="12">
        <f>$H$97/$I$97</f>
        <v>0.17237475345167652</v>
      </c>
      <c r="K97" s="9" t="str">
        <f>IF($H$97&lt;=$I$97+0.00001,"OK","NON OK")</f>
        <v>OK</v>
      </c>
    </row>
    <row r="98" spans="2:11" ht="25.5" x14ac:dyDescent="0.25">
      <c r="B98" s="7" t="s">
        <v>79</v>
      </c>
      <c r="C98" s="10">
        <f>$F$69</f>
        <v>88.281900000000007</v>
      </c>
      <c r="D98" s="5">
        <f>$J$69</f>
        <v>0</v>
      </c>
      <c r="E98" s="11" t="str">
        <f>IF($F$69&lt;=0,"N ≤ 0 : soulèvement",IF($J$69&lt;=$E$18/6+0.000001,"e &lt; A/6 =&gt; Diagramme Trapézoïdal",IF($J$69&lt;$E$18/2,"e &gt; A/6 =&gt; Diagramme triangulaire","e ≥ A/2 : instable")))</f>
        <v>e &lt; A/6 =&gt; Diagramme Trapézoïdal</v>
      </c>
      <c r="F98" s="3">
        <f>IF($F$69&lt;=0,0,IF($J$69&lt;=$E$18/6+0.000001,$F$69/($E$18*$F$18)*(1+6*$J$69/$E$18),IF($J$69&lt;$E$18/2,2*$F$69/(3*$F$18*($E$18/2-$J$69)),1000000000)))/100</f>
        <v>0.52237810650887573</v>
      </c>
      <c r="G98" s="3">
        <f>IF($F$69&lt;=0,0,IF($J$69&lt;=$E$18/6+0.000001,$F$69/($E$18*$F$18)*(1-6*$J$69/$E$18),0))/100</f>
        <v>0.52237810650887573</v>
      </c>
      <c r="H98" s="10">
        <f>(3*$F$98+$G$98)/4</f>
        <v>0.52237810650887573</v>
      </c>
      <c r="I98" s="3">
        <f t="shared" si="0"/>
        <v>3</v>
      </c>
      <c r="J98" s="12">
        <f>$H$98/$I$98</f>
        <v>0.17412603550295858</v>
      </c>
      <c r="K98" s="9" t="str">
        <f>IF($H$98&lt;=$I$98+0.00001,"OK","NON OK")</f>
        <v>OK</v>
      </c>
    </row>
    <row r="99" spans="2:11" ht="25.5" x14ac:dyDescent="0.25">
      <c r="B99" s="7" t="s">
        <v>80</v>
      </c>
      <c r="C99" s="10">
        <f>$F$70</f>
        <v>128.78190000000001</v>
      </c>
      <c r="D99" s="5">
        <f>$J$70</f>
        <v>0</v>
      </c>
      <c r="E99" s="11" t="str">
        <f>IF($F$70&lt;=0,"N ≤ 0 : soulèvement",IF($J$70&lt;=$E$18/6+0.000001,"e &lt; A/6 =&gt; Diagramme Trapézoïdal",IF($J$70&lt;$E$18/2,"e &gt; A/6 =&gt; Diagramme triangulaire","e ≥ A/2 : instable")))</f>
        <v>e &lt; A/6 =&gt; Diagramme Trapézoïdal</v>
      </c>
      <c r="F99" s="3">
        <f>IF($F$70&lt;=0,0,IF($J$70&lt;=$E$18/6+0.000001,$F$70/($E$18*$F$18)*(1+6*$J$70/$E$18),IF($J$70&lt;$E$18/2,2*$F$70/(3*$F$18*($E$18/2-$J$70)),1000000000)))/100</f>
        <v>0.7620230769230768</v>
      </c>
      <c r="G99" s="3">
        <f>IF($F$70&lt;=0,0,IF($J$70&lt;=$E$18/6+0.000001,$F$70/($E$18*$F$18)*(1-6*$J$70/$E$18),0))/100</f>
        <v>0.7620230769230768</v>
      </c>
      <c r="H99" s="10">
        <f>(3*$F$99+$G$99)/4</f>
        <v>0.7620230769230768</v>
      </c>
      <c r="I99" s="3">
        <f t="shared" si="0"/>
        <v>3</v>
      </c>
      <c r="J99" s="12">
        <f>$H$99/$I$99</f>
        <v>0.25400769230769227</v>
      </c>
      <c r="K99" s="9" t="str">
        <f>IF($H$99&lt;=$I$99+0.00001,"OK","NON OK")</f>
        <v>OK</v>
      </c>
    </row>
    <row r="100" spans="2:11" ht="25.5" x14ac:dyDescent="0.25">
      <c r="B100" s="7" t="s">
        <v>81</v>
      </c>
      <c r="C100" s="10">
        <f>$F$71</f>
        <v>77.48190000000001</v>
      </c>
      <c r="D100" s="5">
        <f>$J$71</f>
        <v>0</v>
      </c>
      <c r="E100" s="11" t="str">
        <f>IF($F$71&lt;=0,"N ≤ 0 : soulèvement",IF($J$71&lt;=$E$18/6+0.000001,"e &lt; A/6 =&gt; Diagramme Trapézoïdal",IF($J$71&lt;$E$18/2,"e &gt; A/6 =&gt; Diagramme triangulaire","e ≥ A/2 : instable")))</f>
        <v>e &lt; A/6 =&gt; Diagramme Trapézoïdal</v>
      </c>
      <c r="F100" s="3">
        <f>IF($F$71&lt;=0,0,IF($J$71&lt;=$E$18/6+0.000001,$F$71/($E$18*$F$18)*(1+6*$J$71/$E$18),IF($J$71&lt;$E$18/2,2*$F$71/(3*$F$18*($E$18/2-$J$71)),1000000000)))/100</f>
        <v>0.45847278106508876</v>
      </c>
      <c r="G100" s="3">
        <f>IF($F$71&lt;=0,0,IF($J$71&lt;=$E$18/6+0.000001,$F$71/($E$18*$F$18)*(1-6*$J$71/$E$18),0))/100</f>
        <v>0.45847278106508876</v>
      </c>
      <c r="H100" s="10">
        <f>(3*$F$100+$G$100)/4</f>
        <v>0.45847278106508876</v>
      </c>
      <c r="I100" s="3">
        <f t="shared" si="0"/>
        <v>3</v>
      </c>
      <c r="J100" s="12">
        <f>$H$100/$I$100</f>
        <v>0.15282426035502958</v>
      </c>
      <c r="K100" s="9" t="str">
        <f>IF($H$100&lt;=$I$100+0.00001,"OK","NON OK")</f>
        <v>OK</v>
      </c>
    </row>
    <row r="101" spans="2:11" ht="25.5" x14ac:dyDescent="0.25">
      <c r="B101" s="7" t="s">
        <v>82</v>
      </c>
      <c r="C101" s="10">
        <f>$F$72</f>
        <v>117.98190000000001</v>
      </c>
      <c r="D101" s="5">
        <f>$J$72</f>
        <v>0</v>
      </c>
      <c r="E101" s="11" t="str">
        <f>IF($F$72&lt;=0,"N ≤ 0 : soulèvement",IF($J$72&lt;=$E$18/6+0.000001,"e &lt; A/6 =&gt; Diagramme Trapézoïdal",IF($J$72&lt;$E$18/2,"e &gt; A/6 =&gt; Diagramme triangulaire","e ≥ A/2 : instable")))</f>
        <v>e &lt; A/6 =&gt; Diagramme Trapézoïdal</v>
      </c>
      <c r="F101" s="3">
        <f>IF($F$72&lt;=0,0,IF($J$72&lt;=$E$18/6+0.000001,$F$72/($E$18*$F$18)*(1+6*$J$72/$E$18),IF($J$72&lt;$E$18/2,2*$F$72/(3*$F$18*($E$18/2-$J$72)),1000000000)))/100</f>
        <v>0.69811775147929001</v>
      </c>
      <c r="G101" s="3">
        <f>IF($F$72&lt;=0,0,IF($J$72&lt;=$E$18/6+0.000001,$F$72/($E$18*$F$18)*(1-6*$J$72/$E$18),0))/100</f>
        <v>0.69811775147929001</v>
      </c>
      <c r="H101" s="10">
        <f>(3*$F$101+$G$101)/4</f>
        <v>0.69811775147929001</v>
      </c>
      <c r="I101" s="3">
        <f t="shared" si="0"/>
        <v>3</v>
      </c>
      <c r="J101" s="12">
        <f>$H$101/$I$101</f>
        <v>0.23270591715976333</v>
      </c>
      <c r="K101" s="9" t="str">
        <f>IF($H$101&lt;=$I$101+0.00001,"OK","NON OK")</f>
        <v>OK</v>
      </c>
    </row>
    <row r="102" spans="2:11" ht="25.5" x14ac:dyDescent="0.25">
      <c r="B102" s="7" t="s">
        <v>83</v>
      </c>
      <c r="C102" s="10">
        <f>$F$73</f>
        <v>95.394000000000005</v>
      </c>
      <c r="D102" s="5">
        <f>$J$73</f>
        <v>0</v>
      </c>
      <c r="E102" s="11" t="str">
        <f>IF($F$73&lt;=0,"N ≤ 0 : soulèvement",IF($J$73&lt;=$E$18/6+0.000001,"e &lt; A/6 =&gt; Diagramme Trapézoïdal",IF($J$73&lt;$E$18/2,"e &gt; A/6 =&gt; Diagramme triangulaire","e ≥ A/2 : instable")))</f>
        <v>e &lt; A/6 =&gt; Diagramme Trapézoïdal</v>
      </c>
      <c r="F102" s="3">
        <f>IF($F$73&lt;=0,0,IF($J$73&lt;=$E$18/6+0.000001,$F$73/($E$18*$F$18)*(1+6*$J$73/$E$18),IF($J$73&lt;$E$18/2,2*$F$73/(3*$F$18*($E$18/2-$J$73)),1000000000)))/100</f>
        <v>0.56446153846153846</v>
      </c>
      <c r="G102" s="3">
        <f>IF($F$73&lt;=0,0,IF($J$73&lt;=$E$18/6+0.000001,$F$73/($E$18*$F$18)*(1-6*$J$73/$E$18),0))/100</f>
        <v>0.56446153846153846</v>
      </c>
      <c r="H102" s="10">
        <f>(3*$F$102+$G$102)/4</f>
        <v>0.56446153846153846</v>
      </c>
      <c r="I102" s="3">
        <f t="shared" ref="I102:I107" si="1">$B$10</f>
        <v>2</v>
      </c>
      <c r="J102" s="12">
        <f>$H$102/$I$102</f>
        <v>0.28223076923076923</v>
      </c>
      <c r="K102" s="9" t="str">
        <f>IF($H$102&lt;=$I$102+0.00001,"OK","NON OK")</f>
        <v>OK</v>
      </c>
    </row>
    <row r="103" spans="2:11" ht="25.5" x14ac:dyDescent="0.25">
      <c r="B103" s="7" t="s">
        <v>85</v>
      </c>
      <c r="C103" s="10">
        <f>$F$74</f>
        <v>87.394000000000005</v>
      </c>
      <c r="D103" s="5">
        <f>$J$74</f>
        <v>0</v>
      </c>
      <c r="E103" s="11" t="str">
        <f>IF($F$74&lt;=0,"N ≤ 0 : soulèvement",IF($J$74&lt;=$E$18/6+0.000001,"e &lt; A/6 =&gt; Diagramme Trapézoïdal",IF($J$74&lt;$E$18/2,"e &gt; A/6 =&gt; Diagramme triangulaire","e ≥ A/2 : instable")))</f>
        <v>e &lt; A/6 =&gt; Diagramme Trapézoïdal</v>
      </c>
      <c r="F103" s="3">
        <f>IF($F$74&lt;=0,0,IF($J$74&lt;=$E$18/6+0.000001,$F$74/($E$18*$F$18)*(1+6*$J$74/$E$18),IF($J$74&lt;$E$18/2,2*$F$74/(3*$F$18*($E$18/2-$J$74)),1000000000)))/100</f>
        <v>0.51712426035502956</v>
      </c>
      <c r="G103" s="3">
        <f>IF($F$74&lt;=0,0,IF($J$74&lt;=$E$18/6+0.000001,$F$74/($E$18*$F$18)*(1-6*$J$74/$E$18),0))/100</f>
        <v>0.51712426035502956</v>
      </c>
      <c r="H103" s="10">
        <f>(3*$F$103+$G$103)/4</f>
        <v>0.51712426035502956</v>
      </c>
      <c r="I103" s="3">
        <f t="shared" si="1"/>
        <v>2</v>
      </c>
      <c r="J103" s="12">
        <f>$H$103/$I$103</f>
        <v>0.25856213017751478</v>
      </c>
      <c r="K103" s="9" t="str">
        <f>IF($H$103&lt;=$I$103+0.00001,"OK","NON OK")</f>
        <v>OK</v>
      </c>
    </row>
    <row r="104" spans="2:11" ht="25.5" x14ac:dyDescent="0.25">
      <c r="B104" s="7" t="s">
        <v>86</v>
      </c>
      <c r="C104" s="10">
        <f>$F$75</f>
        <v>57.394000000000005</v>
      </c>
      <c r="D104" s="5">
        <f>$J$75</f>
        <v>0</v>
      </c>
      <c r="E104" s="11" t="str">
        <f>IF($F$75&lt;=0,"N ≤ 0 : soulèvement",IF($J$75&lt;=$E$18/6+0.000001,"e &lt; A/6 =&gt; Diagramme Trapézoïdal",IF($J$75&lt;$E$18/2,"e &gt; A/6 =&gt; Diagramme triangulaire","e ≥ A/2 : instable")))</f>
        <v>e &lt; A/6 =&gt; Diagramme Trapézoïdal</v>
      </c>
      <c r="F104" s="3">
        <f>IF($F$75&lt;=0,0,IF($J$75&lt;=$E$18/6+0.000001,$F$75/($E$18*$F$18)*(1+6*$J$75/$E$18),IF($J$75&lt;$E$18/2,2*$F$75/(3*$F$18*($E$18/2-$J$75)),1000000000)))/100</f>
        <v>0.33960946745562132</v>
      </c>
      <c r="G104" s="3">
        <f>IF($F$75&lt;=0,0,IF($J$75&lt;=$E$18/6+0.000001,$F$75/($E$18*$F$18)*(1-6*$J$75/$E$18),0))/100</f>
        <v>0.33960946745562132</v>
      </c>
      <c r="H104" s="10">
        <f>(3*$F$104+$G$104)/4</f>
        <v>0.33960946745562132</v>
      </c>
      <c r="I104" s="3">
        <f t="shared" si="1"/>
        <v>2</v>
      </c>
      <c r="J104" s="12">
        <f>$H$104/$I$104</f>
        <v>0.16980473372781066</v>
      </c>
      <c r="K104" s="9" t="str">
        <f>IF($H$104&lt;=$I$104+0.00001,"OK","NON OK")</f>
        <v>OK</v>
      </c>
    </row>
    <row r="105" spans="2:11" ht="25.5" x14ac:dyDescent="0.25">
      <c r="B105" s="7" t="s">
        <v>87</v>
      </c>
      <c r="C105" s="10">
        <f>$F$76</f>
        <v>87.394000000000005</v>
      </c>
      <c r="D105" s="5">
        <f>$J$76</f>
        <v>0</v>
      </c>
      <c r="E105" s="11" t="str">
        <f>IF($F$76&lt;=0,"N ≤ 0 : soulèvement",IF($J$76&lt;=$E$18/6+0.000001,"e &lt; A/6 =&gt; Diagramme Trapézoïdal",IF($J$76&lt;$E$18/2,"e &gt; A/6 =&gt; Diagramme triangulaire","e ≥ A/2 : instable")))</f>
        <v>e &lt; A/6 =&gt; Diagramme Trapézoïdal</v>
      </c>
      <c r="F105" s="3">
        <f>IF($F$76&lt;=0,0,IF($J$76&lt;=$E$18/6+0.000001,$F$76/($E$18*$F$18)*(1+6*$J$76/$E$18),IF($J$76&lt;$E$18/2,2*$F$76/(3*$F$18*($E$18/2-$J$76)),1000000000)))/100</f>
        <v>0.51712426035502956</v>
      </c>
      <c r="G105" s="3">
        <f>IF($F$76&lt;=0,0,IF($J$76&lt;=$E$18/6+0.000001,$F$76/($E$18*$F$18)*(1-6*$J$76/$E$18),0))/100</f>
        <v>0.51712426035502956</v>
      </c>
      <c r="H105" s="10">
        <f>(3*$F$105+$G$105)/4</f>
        <v>0.51712426035502956</v>
      </c>
      <c r="I105" s="3">
        <f t="shared" si="1"/>
        <v>2</v>
      </c>
      <c r="J105" s="12">
        <f>$H$105/$I$105</f>
        <v>0.25856213017751478</v>
      </c>
      <c r="K105" s="9" t="str">
        <f>IF($H$105&lt;=$I$105+0.00001,"OK","NON OK")</f>
        <v>OK</v>
      </c>
    </row>
    <row r="106" spans="2:11" ht="25.5" x14ac:dyDescent="0.25">
      <c r="B106" s="7" t="s">
        <v>88</v>
      </c>
      <c r="C106" s="10">
        <f>$F$77</f>
        <v>67.594000000000008</v>
      </c>
      <c r="D106" s="5">
        <f>$J$77</f>
        <v>0</v>
      </c>
      <c r="E106" s="11" t="str">
        <f>IF($F$77&lt;=0,"N ≤ 0 : soulèvement",IF($J$77&lt;=$E$18/6+0.000001,"e &lt; A/6 =&gt; Diagramme Trapézoïdal",IF($J$77&lt;$E$18/2,"e &gt; A/6 =&gt; Diagramme triangulaire","e ≥ A/2 : instable")))</f>
        <v>e &lt; A/6 =&gt; Diagramme Trapézoïdal</v>
      </c>
      <c r="F106" s="3">
        <f>IF($F$77&lt;=0,0,IF($J$77&lt;=$E$18/6+0.000001,$F$77/($E$18*$F$18)*(1+6*$J$77/$E$18),IF($J$77&lt;$E$18/2,2*$F$77/(3*$F$18*($E$18/2-$J$77)),1000000000)))/100</f>
        <v>0.39996449704142018</v>
      </c>
      <c r="G106" s="3">
        <f>IF($F$77&lt;=0,0,IF($J$77&lt;=$E$18/6+0.000001,$F$77/($E$18*$F$18)*(1-6*$J$77/$E$18),0))/100</f>
        <v>0.39996449704142018</v>
      </c>
      <c r="H106" s="10">
        <f>(3*$F$106+$G$106)/4</f>
        <v>0.39996449704142018</v>
      </c>
      <c r="I106" s="3">
        <f t="shared" si="1"/>
        <v>2</v>
      </c>
      <c r="J106" s="12">
        <f>$H$106/$I$106</f>
        <v>0.19998224852071009</v>
      </c>
      <c r="K106" s="9" t="str">
        <f>IF($H$106&lt;=$I$106+0.00001,"OK","NON OK")</f>
        <v>OK</v>
      </c>
    </row>
    <row r="107" spans="2:11" ht="25.5" x14ac:dyDescent="0.25">
      <c r="B107" s="7" t="s">
        <v>89</v>
      </c>
      <c r="C107" s="10">
        <f>$F$78</f>
        <v>94.594000000000008</v>
      </c>
      <c r="D107" s="5">
        <f>$J$78</f>
        <v>0</v>
      </c>
      <c r="E107" s="11" t="str">
        <f>IF($F$78&lt;=0,"N ≤ 0 : soulèvement",IF($J$78&lt;=$E$18/6+0.000001,"e &lt; A/6 =&gt; Diagramme Trapézoïdal",IF($J$78&lt;$E$18/2,"e &gt; A/6 =&gt; Diagramme triangulaire","e ≥ A/2 : instable")))</f>
        <v>e &lt; A/6 =&gt; Diagramme Trapézoïdal</v>
      </c>
      <c r="F107" s="3">
        <f>IF($F$78&lt;=0,0,IF($J$78&lt;=$E$18/6+0.000001,$F$78/($E$18*$F$18)*(1+6*$J$78/$E$18),IF($J$78&lt;$E$18/2,2*$F$78/(3*$F$18*($E$18/2-$J$78)),1000000000)))/100</f>
        <v>0.5597278106508875</v>
      </c>
      <c r="G107" s="3">
        <f>IF($F$78&lt;=0,0,IF($J$78&lt;=$E$18/6+0.000001,$F$78/($E$18*$F$18)*(1-6*$J$78/$E$18),0))/100</f>
        <v>0.5597278106508875</v>
      </c>
      <c r="H107" s="10">
        <f>(3*$F$107+$G$107)/4</f>
        <v>0.5597278106508875</v>
      </c>
      <c r="I107" s="3">
        <f t="shared" si="1"/>
        <v>2</v>
      </c>
      <c r="J107" s="12">
        <f>$H$107/$I$107</f>
        <v>0.27986390532544375</v>
      </c>
      <c r="K107" s="9" t="str">
        <f>IF($H$107&lt;=$I$107+0.00001,"OK","NON OK")</f>
        <v>OK</v>
      </c>
    </row>
    <row r="108" spans="2:11" ht="28.5" x14ac:dyDescent="0.25">
      <c r="B108" s="7" t="s">
        <v>90</v>
      </c>
      <c r="C108" s="10">
        <f>$F$79</f>
        <v>100.59400000000001</v>
      </c>
      <c r="D108" s="5">
        <f>$J$79</f>
        <v>0.36503171163290055</v>
      </c>
      <c r="E108" s="11" t="str">
        <f>IF($F$79&lt;=0,"N ≤ 0 : soulèvement",IF($J$79&lt;=$E$18/6+0.000001,"e &lt; A/6 =&gt; Diagramme Trapézoïdal",IF($J$79&lt;$E$18/2,"e &gt; A/6 =&gt; Diagramme triangulaire","e ≥ A/2 : instable")))</f>
        <v>e &gt; A/6 =&gt; Diagramme triangulaire</v>
      </c>
      <c r="F108" s="3">
        <f>IF($F$79&lt;=0,0,IF($J$79&lt;=$E$18/6+0.000001,$F$79/($E$18*$F$18)*(1+6*$J$79/$E$18),IF($J$79&lt;$E$18/2,2*$F$79/(3*$F$18*($E$18/2-$J$79)),1000000000)))/100</f>
        <v>1.8102599051376591</v>
      </c>
      <c r="G108" s="3">
        <f>IF($F$79&lt;=0,0,IF($J$79&lt;=$E$18/6+0.000001,$F$79/($E$18*$F$18)*(1-6*$J$79/$E$18),0))/100</f>
        <v>0</v>
      </c>
      <c r="H108" s="10">
        <f>(3*$F$108+$G$108)/4</f>
        <v>1.3576949288532443</v>
      </c>
      <c r="I108" s="3">
        <f t="shared" ref="I108:I115" si="2">$D$10</f>
        <v>3</v>
      </c>
      <c r="J108" s="12">
        <f>$H$108/$I$108</f>
        <v>0.45256497628441478</v>
      </c>
      <c r="K108" s="9" t="str">
        <f>IF($H$108&lt;=$I$108+0.00001,"OK","NON OK")</f>
        <v>OK</v>
      </c>
    </row>
    <row r="109" spans="2:11" ht="28.5" x14ac:dyDescent="0.25">
      <c r="B109" s="7" t="s">
        <v>92</v>
      </c>
      <c r="C109" s="10">
        <f>$F$80</f>
        <v>100.59400000000001</v>
      </c>
      <c r="D109" s="5">
        <f>$J$80</f>
        <v>0.36503171163290055</v>
      </c>
      <c r="E109" s="11" t="str">
        <f>IF($F$80&lt;=0,"N ≤ 0 : soulèvement",IF($J$80&lt;=$E$18/6+0.000001,"e &lt; A/6 =&gt; Diagramme Trapézoïdal",IF($J$80&lt;$E$18/2,"e &gt; A/6 =&gt; Diagramme triangulaire","e ≥ A/2 : instable")))</f>
        <v>e &gt; A/6 =&gt; Diagramme triangulaire</v>
      </c>
      <c r="F109" s="3">
        <f>IF($F$80&lt;=0,0,IF($J$80&lt;=$E$18/6+0.000001,$F$80/($E$18*$F$18)*(1+6*$J$80/$E$18),IF($J$80&lt;$E$18/2,2*$F$80/(3*$F$18*($E$18/2-$J$80)),1000000000)))/100</f>
        <v>1.8102599051376591</v>
      </c>
      <c r="G109" s="3">
        <f>IF($F$80&lt;=0,0,IF($J$80&lt;=$E$18/6+0.000001,$F$80/($E$18*$F$18)*(1-6*$J$80/$E$18),0))/100</f>
        <v>0</v>
      </c>
      <c r="H109" s="10">
        <f>(3*$F$109+$G$109)/4</f>
        <v>1.3576949288532443</v>
      </c>
      <c r="I109" s="3">
        <f t="shared" si="2"/>
        <v>3</v>
      </c>
      <c r="J109" s="12">
        <f>$H$109/$I$109</f>
        <v>0.45256497628441478</v>
      </c>
      <c r="K109" s="9" t="str">
        <f>IF($H$109&lt;=$I$109+0.00001,"OK","NON OK")</f>
        <v>OK</v>
      </c>
    </row>
    <row r="110" spans="2:11" ht="28.5" x14ac:dyDescent="0.25">
      <c r="B110" s="7" t="s">
        <v>93</v>
      </c>
      <c r="C110" s="10">
        <f>$F$81</f>
        <v>93.034000000000006</v>
      </c>
      <c r="D110" s="5">
        <f>$J$81</f>
        <v>0.11840832383859663</v>
      </c>
      <c r="E110" s="11" t="str">
        <f>IF($F$81&lt;=0,"N ≤ 0 : soulèvement",IF($J$81&lt;=$E$18/6+0.000001,"e &lt; A/6 =&gt; Diagramme Trapézoïdal",IF($J$81&lt;$E$18/2,"e &gt; A/6 =&gt; Diagramme triangulaire","e ≥ A/2 : instable")))</f>
        <v>e &lt; A/6 =&gt; Diagramme Trapézoïdal</v>
      </c>
      <c r="F110" s="3">
        <f>IF($F$81&lt;=0,0,IF($J$81&lt;=$E$18/6+0.000001,$F$81/($E$18*$F$18)*(1+6*$J$81/$E$18),IF($J$81&lt;$E$18/2,2*$F$81/(3*$F$18*($E$18/2-$J$81)),1000000000)))/100</f>
        <v>0.85134365043240778</v>
      </c>
      <c r="G110" s="3">
        <f>IF($F$81&lt;=0,0,IF($J$81&lt;=$E$18/6+0.000001,$F$81/($E$18*$F$18)*(1-6*$J$81/$E$18),0))/100</f>
        <v>0.24965043240782891</v>
      </c>
      <c r="H110" s="10">
        <f>(3*$F$110+$G$110)/4</f>
        <v>0.70092034592626307</v>
      </c>
      <c r="I110" s="3">
        <f t="shared" si="2"/>
        <v>3</v>
      </c>
      <c r="J110" s="12">
        <f>$H$110/$I$110</f>
        <v>0.23364011530875436</v>
      </c>
      <c r="K110" s="9" t="str">
        <f>IF($H$110&lt;=$I$110+0.00001,"OK","NON OK")</f>
        <v>OK</v>
      </c>
    </row>
    <row r="111" spans="2:11" ht="28.5" x14ac:dyDescent="0.25">
      <c r="B111" s="7" t="s">
        <v>94</v>
      </c>
      <c r="C111" s="10">
        <f>$F$82</f>
        <v>93.034000000000006</v>
      </c>
      <c r="D111" s="5">
        <f>$J$82</f>
        <v>0.11840832383859663</v>
      </c>
      <c r="E111" s="11" t="str">
        <f>IF($F$82&lt;=0,"N ≤ 0 : soulèvement",IF($J$82&lt;=$E$18/6+0.000001,"e &lt; A/6 =&gt; Diagramme Trapézoïdal",IF($J$82&lt;$E$18/2,"e &gt; A/6 =&gt; Diagramme triangulaire","e ≥ A/2 : instable")))</f>
        <v>e &lt; A/6 =&gt; Diagramme Trapézoïdal</v>
      </c>
      <c r="F111" s="3">
        <f>IF($F$82&lt;=0,0,IF($J$82&lt;=$E$18/6+0.000001,$F$82/($E$18*$F$18)*(1+6*$J$82/$E$18),IF($J$82&lt;$E$18/2,2*$F$82/(3*$F$18*($E$18/2-$J$82)),1000000000)))/100</f>
        <v>0.85134365043240778</v>
      </c>
      <c r="G111" s="3">
        <f>IF($F$82&lt;=0,0,IF($J$82&lt;=$E$18/6+0.000001,$F$82/($E$18*$F$18)*(1-6*$J$82/$E$18),0))/100</f>
        <v>0.24965043240782891</v>
      </c>
      <c r="H111" s="10">
        <f>(3*$F$111+$G$111)/4</f>
        <v>0.70092034592626307</v>
      </c>
      <c r="I111" s="3">
        <f t="shared" si="2"/>
        <v>3</v>
      </c>
      <c r="J111" s="12">
        <f>$H$111/$I$111</f>
        <v>0.23364011530875436</v>
      </c>
      <c r="K111" s="9" t="str">
        <f>IF($H$111&lt;=$I$111+0.00001,"OK","NON OK")</f>
        <v>OK</v>
      </c>
    </row>
    <row r="112" spans="2:11" ht="28.5" x14ac:dyDescent="0.25">
      <c r="B112" s="7" t="s">
        <v>95</v>
      </c>
      <c r="C112" s="10">
        <f>$F$83</f>
        <v>78.994</v>
      </c>
      <c r="D112" s="5">
        <f>$J$83</f>
        <v>0.46484543129857964</v>
      </c>
      <c r="E112" s="11" t="str">
        <f>IF($F$83&lt;=0,"N ≤ 0 : soulèvement",IF($J$83&lt;=$E$18/6+0.000001,"e &lt; A/6 =&gt; Diagramme Trapézoïdal",IF($J$83&lt;$E$18/2,"e &gt; A/6 =&gt; Diagramme triangulaire","e ≥ A/2 : instable")))</f>
        <v>e &gt; A/6 =&gt; Diagramme triangulaire</v>
      </c>
      <c r="F112" s="3">
        <f>IF($F$83&lt;=0,0,IF($J$83&lt;=$E$18/6+0.000001,$F$83/($E$18*$F$18)*(1+6*$J$83/$E$18),IF($J$83&lt;$E$18/2,2*$F$83/(3*$F$18*($E$18/2-$J$83)),1000000000)))/100</f>
        <v>2.1878878751876472</v>
      </c>
      <c r="G112" s="3">
        <f>IF($F$83&lt;=0,0,IF($J$83&lt;=$E$18/6+0.000001,$F$83/($E$18*$F$18)*(1-6*$J$83/$E$18),0))/100</f>
        <v>0</v>
      </c>
      <c r="H112" s="10">
        <f>(3*$F$112+$G$112)/4</f>
        <v>1.6409159063907355</v>
      </c>
      <c r="I112" s="3">
        <f t="shared" si="2"/>
        <v>3</v>
      </c>
      <c r="J112" s="12">
        <f>$H$112/$I$112</f>
        <v>0.54697196879691179</v>
      </c>
      <c r="K112" s="9" t="str">
        <f>IF($H$112&lt;=$I$112+0.00001,"OK","NON OK")</f>
        <v>OK</v>
      </c>
    </row>
    <row r="113" spans="2:11" ht="28.5" x14ac:dyDescent="0.25">
      <c r="B113" s="7" t="s">
        <v>96</v>
      </c>
      <c r="C113" s="10">
        <f>$F$84</f>
        <v>78.994</v>
      </c>
      <c r="D113" s="5">
        <f>$J$84</f>
        <v>0.46484543129857964</v>
      </c>
      <c r="E113" s="11" t="str">
        <f>IF($F$84&lt;=0,"N ≤ 0 : soulèvement",IF($J$84&lt;=$E$18/6+0.000001,"e &lt; A/6 =&gt; Diagramme Trapézoïdal",IF($J$84&lt;$E$18/2,"e &gt; A/6 =&gt; Diagramme triangulaire","e ≥ A/2 : instable")))</f>
        <v>e &gt; A/6 =&gt; Diagramme triangulaire</v>
      </c>
      <c r="F113" s="3">
        <f>IF($F$84&lt;=0,0,IF($J$84&lt;=$E$18/6+0.000001,$F$84/($E$18*$F$18)*(1+6*$J$84/$E$18),IF($J$84&lt;$E$18/2,2*$F$84/(3*$F$18*($E$18/2-$J$84)),1000000000)))/100</f>
        <v>2.1878878751876472</v>
      </c>
      <c r="G113" s="3">
        <f>IF($F$84&lt;=0,0,IF($J$84&lt;=$E$18/6+0.000001,$F$84/($E$18*$F$18)*(1-6*$J$84/$E$18),0))/100</f>
        <v>0</v>
      </c>
      <c r="H113" s="10">
        <f>(3*$F$113+$G$113)/4</f>
        <v>1.6409159063907355</v>
      </c>
      <c r="I113" s="3">
        <f t="shared" si="2"/>
        <v>3</v>
      </c>
      <c r="J113" s="12">
        <f>$H$113/$I$113</f>
        <v>0.54697196879691179</v>
      </c>
      <c r="K113" s="9" t="str">
        <f>IF($H$113&lt;=$I$113+0.00001,"OK","NON OK")</f>
        <v>OK</v>
      </c>
    </row>
    <row r="114" spans="2:11" ht="28.5" x14ac:dyDescent="0.25">
      <c r="B114" s="7" t="s">
        <v>97</v>
      </c>
      <c r="C114" s="10">
        <f>$F$85</f>
        <v>86.554000000000002</v>
      </c>
      <c r="D114" s="5">
        <f>$J$85</f>
        <v>0.12727314739931142</v>
      </c>
      <c r="E114" s="11" t="str">
        <f>IF($F$85&lt;=0,"N ≤ 0 : soulèvement",IF($J$85&lt;=$E$18/6+0.000001,"e &lt; A/6 =&gt; Diagramme Trapézoïdal",IF($J$85&lt;$E$18/2,"e &gt; A/6 =&gt; Diagramme triangulaire","e ≥ A/2 : instable")))</f>
        <v>e &lt; A/6 =&gt; Diagramme Trapézoïdal</v>
      </c>
      <c r="F114" s="3">
        <f>IF($F$85&lt;=0,0,IF($J$85&lt;=$E$18/6+0.000001,$F$85/($E$18*$F$18)*(1+6*$J$85/$E$18),IF($J$85&lt;$E$18/2,2*$F$85/(3*$F$18*($E$18/2-$J$85)),1000000000)))/100</f>
        <v>0.81300045516613562</v>
      </c>
      <c r="G114" s="3">
        <f>IF($F$85&lt;=0,0,IF($J$85&lt;=$E$18/6+0.000001,$F$85/($E$18*$F$18)*(1-6*$J$85/$E$18),0))/100</f>
        <v>0.21130723714155661</v>
      </c>
      <c r="H114" s="10">
        <f>(3*$F$114+$G$114)/4</f>
        <v>0.6625771506599909</v>
      </c>
      <c r="I114" s="3">
        <f t="shared" si="2"/>
        <v>3</v>
      </c>
      <c r="J114" s="12">
        <f>$H$114/$I$114</f>
        <v>0.22085905021999697</v>
      </c>
      <c r="K114" s="9" t="str">
        <f>IF($H$114&lt;=$I$114+0.00001,"OK","NON OK")</f>
        <v>OK</v>
      </c>
    </row>
    <row r="115" spans="2:11" ht="28.5" x14ac:dyDescent="0.25">
      <c r="B115" s="7" t="s">
        <v>98</v>
      </c>
      <c r="C115" s="10">
        <f>$F$86</f>
        <v>86.554000000000002</v>
      </c>
      <c r="D115" s="5">
        <f>$J$86</f>
        <v>0.12727314739931142</v>
      </c>
      <c r="E115" s="11" t="str">
        <f>IF($F$86&lt;=0,"N ≤ 0 : soulèvement",IF($J$86&lt;=$E$18/6+0.000001,"e &lt; A/6 =&gt; Diagramme Trapézoïdal",IF($J$86&lt;$E$18/2,"e &gt; A/6 =&gt; Diagramme triangulaire","e ≥ A/2 : instable")))</f>
        <v>e &lt; A/6 =&gt; Diagramme Trapézoïdal</v>
      </c>
      <c r="F115" s="3">
        <f>IF($F$86&lt;=0,0,IF($J$86&lt;=$E$18/6+0.000001,$F$86/($E$18*$F$18)*(1+6*$J$86/$E$18),IF($J$86&lt;$E$18/2,2*$F$86/(3*$F$18*($E$18/2-$J$86)),1000000000)))/100</f>
        <v>0.81300045516613562</v>
      </c>
      <c r="G115" s="3">
        <f>IF($F$86&lt;=0,0,IF($J$86&lt;=$E$18/6+0.000001,$F$86/($E$18*$F$18)*(1-6*$J$86/$E$18),0))/100</f>
        <v>0.21130723714155661</v>
      </c>
      <c r="H115" s="10">
        <f>(3*$F$115+$G$115)/4</f>
        <v>0.6625771506599909</v>
      </c>
      <c r="I115" s="3">
        <f t="shared" si="2"/>
        <v>3</v>
      </c>
      <c r="J115" s="12">
        <f>$H$115/$I$115</f>
        <v>0.22085905021999697</v>
      </c>
      <c r="K115" s="9" t="str">
        <f>IF($H$115&lt;=$I$115+0.00001,"OK","NON OK")</f>
        <v>OK</v>
      </c>
    </row>
    <row r="117" spans="2:11" ht="20.100000000000001" customHeight="1" x14ac:dyDescent="0.25">
      <c r="B117" s="19" t="s">
        <v>136</v>
      </c>
      <c r="C117" s="18"/>
      <c r="D117" s="18"/>
      <c r="E117" s="18"/>
      <c r="F117" s="18"/>
      <c r="G117" s="18"/>
      <c r="H117" s="18"/>
      <c r="I117" s="18"/>
      <c r="J117" s="18"/>
      <c r="K117" s="18"/>
    </row>
    <row r="118" spans="2:11" ht="15" customHeight="1" x14ac:dyDescent="0.25">
      <c r="B118" s="24" t="s">
        <v>137</v>
      </c>
      <c r="C118" s="25"/>
      <c r="D118" s="25"/>
      <c r="E118" s="25"/>
      <c r="F118" s="25"/>
      <c r="G118" s="25"/>
      <c r="H118" s="25"/>
      <c r="I118" s="25"/>
      <c r="J118" s="25"/>
      <c r="K118" s="25"/>
    </row>
    <row r="119" spans="2:11" ht="20.100000000000001" customHeight="1" x14ac:dyDescent="0.25">
      <c r="B119" s="1" t="s">
        <v>63</v>
      </c>
      <c r="C119" s="1" t="s">
        <v>114</v>
      </c>
      <c r="D119" s="1" t="s">
        <v>118</v>
      </c>
      <c r="E119" s="1" t="s">
        <v>126</v>
      </c>
      <c r="F119" s="1" t="s">
        <v>127</v>
      </c>
      <c r="G119" s="1" t="s">
        <v>128</v>
      </c>
      <c r="H119" s="1" t="s">
        <v>129</v>
      </c>
      <c r="I119" s="1" t="s">
        <v>130</v>
      </c>
      <c r="J119" s="1" t="s">
        <v>131</v>
      </c>
      <c r="K119" s="1" t="s">
        <v>49</v>
      </c>
    </row>
    <row r="120" spans="2:11" ht="30" customHeight="1" x14ac:dyDescent="0.25">
      <c r="B120" s="2"/>
      <c r="C120" s="2"/>
      <c r="D120" s="2"/>
      <c r="E120" s="2"/>
      <c r="F120" s="2" t="s">
        <v>138</v>
      </c>
      <c r="G120" s="2" t="s">
        <v>139</v>
      </c>
      <c r="H120" s="2" t="s">
        <v>134</v>
      </c>
      <c r="I120" s="2"/>
      <c r="J120" s="2" t="s">
        <v>135</v>
      </c>
      <c r="K120" s="2"/>
    </row>
    <row r="121" spans="2:11" ht="25.5" x14ac:dyDescent="0.25">
      <c r="B121" s="7" t="s">
        <v>71</v>
      </c>
      <c r="C121" s="10">
        <f>$F$63</f>
        <v>129.9819</v>
      </c>
      <c r="D121" s="5">
        <f>$K$63</f>
        <v>5.2968913364091465E-2</v>
      </c>
      <c r="E121" s="11" t="str">
        <f>IF($F$63&lt;=0,"N ≤ 0 : soulèvement",IF($K$63&lt;=$F$18/6+0.000001,"e &lt; B/6 =&gt; Diagramme Trapézoïdal",IF($K$63&lt;$F$18/2,"e &gt; B/6 =&gt; Diagramme triangulaire","e ≥ B/2 : instable")))</f>
        <v>e &lt; B/6 =&gt; Diagramme Trapézoïdal</v>
      </c>
      <c r="F121" s="3">
        <f>IF($F$63&lt;=0,0,IF($K$63&lt;=$F$18/6+0.000001,$F$63/($F$18*$E$18)*(1+6*$K$63/$F$18),IF($K$63&lt;$F$18/2,2*$F$63/(3*$E$18*($F$18/2-$K$63)),1000000000)))/100</f>
        <v>0.95715279927173413</v>
      </c>
      <c r="G121" s="3">
        <f>IF($F$63&lt;=0,0,IF($K$63&lt;=$F$18/6+0.000001,$F$63/($F$18*$E$18)*(1-6*$K$63/$F$18),0))/100</f>
        <v>0.58109453800637223</v>
      </c>
      <c r="H121" s="10">
        <f>(3*$F$121+$G$121)/4</f>
        <v>0.86313823395539369</v>
      </c>
      <c r="I121" s="3">
        <f t="shared" ref="I121:I130" si="3">$C$10</f>
        <v>3</v>
      </c>
      <c r="J121" s="12">
        <f>$H$121/$I$121</f>
        <v>0.28771274465179791</v>
      </c>
      <c r="K121" s="9" t="str">
        <f>IF($H$121&lt;=$I$121+0.00001,"OK","NON OK")</f>
        <v>OK</v>
      </c>
    </row>
    <row r="122" spans="2:11" ht="25.5" x14ac:dyDescent="0.25">
      <c r="B122" s="7" t="s">
        <v>74</v>
      </c>
      <c r="C122" s="10">
        <f>$F$64</f>
        <v>117.98190000000001</v>
      </c>
      <c r="D122" s="5">
        <f>$K$64</f>
        <v>5.8356408906789933E-2</v>
      </c>
      <c r="E122" s="11" t="str">
        <f>IF($F$64&lt;=0,"N ≤ 0 : soulèvement",IF($K$64&lt;=$F$18/6+0.000001,"e &lt; B/6 =&gt; Diagramme Trapézoïdal",IF($K$64&lt;$F$18/2,"e &gt; B/6 =&gt; Diagramme triangulaire","e ≥ B/2 : instable")))</f>
        <v>e &lt; B/6 =&gt; Diagramme Trapézoïdal</v>
      </c>
      <c r="F122" s="3">
        <f>IF($F$64&lt;=0,0,IF($K$64&lt;=$F$18/6+0.000001,$F$64/($F$18*$E$18)*(1+6*$K$64/$F$18),IF($K$64&lt;$F$18/2,2*$F$64/(3*$E$18*($F$18/2-$K$64)),1000000000)))/100</f>
        <v>0.8861468821119709</v>
      </c>
      <c r="G122" s="3">
        <f>IF($F$64&lt;=0,0,IF($K$64&lt;=$F$18/6+0.000001,$F$64/($F$18*$E$18)*(1-6*$K$64/$F$18),0))/100</f>
        <v>0.510088620846609</v>
      </c>
      <c r="H122" s="10">
        <f>(3*$F$122+$G$122)/4</f>
        <v>0.79213231679563034</v>
      </c>
      <c r="I122" s="3">
        <f t="shared" si="3"/>
        <v>3</v>
      </c>
      <c r="J122" s="12">
        <f>$H$122/$I$122</f>
        <v>0.26404410559854347</v>
      </c>
      <c r="K122" s="9" t="str">
        <f>IF($H$122&lt;=$I$122+0.00001,"OK","NON OK")</f>
        <v>OK</v>
      </c>
    </row>
    <row r="123" spans="2:11" ht="25.5" x14ac:dyDescent="0.25">
      <c r="B123" s="7" t="s">
        <v>75</v>
      </c>
      <c r="C123" s="10">
        <f>$F$65</f>
        <v>72.98190000000001</v>
      </c>
      <c r="D123" s="5">
        <f>$K$65</f>
        <v>0.22012307161090619</v>
      </c>
      <c r="E123" s="11" t="str">
        <f>IF($F$65&lt;=0,"N ≤ 0 : soulèvement",IF($K$65&lt;=$F$18/6+0.000001,"e &lt; B/6 =&gt; Diagramme Trapézoïdal",IF($K$65&lt;$F$18/2,"e &gt; B/6 =&gt; Diagramme triangulaire","e ≥ B/2 : instable")))</f>
        <v>e &gt; B/6 =&gt; Diagramme triangulaire</v>
      </c>
      <c r="F123" s="3">
        <f>IF($F$65&lt;=0,0,IF($K$65&lt;=$F$18/6+0.000001,$F$65/($F$18*$E$18)*(1+6*$K$65/$F$18),IF($K$65&lt;$F$18/2,2*$F$65/(3*$E$18*($F$18/2-$K$65)),1000000000)))/100</f>
        <v>0.8706355915602777</v>
      </c>
      <c r="G123" s="3">
        <f>IF($F$65&lt;=0,0,IF($K$65&lt;=$F$18/6+0.000001,$F$65/($F$18*$E$18)*(1-6*$K$65/$F$18),0))/100</f>
        <v>0</v>
      </c>
      <c r="H123" s="10">
        <f>(3*$F$123+$G$123)/4</f>
        <v>0.65297669367020827</v>
      </c>
      <c r="I123" s="3">
        <f t="shared" si="3"/>
        <v>3</v>
      </c>
      <c r="J123" s="12">
        <f>$H$123/$I$123</f>
        <v>0.21765889789006942</v>
      </c>
      <c r="K123" s="9" t="str">
        <f>IF($H$123&lt;=$I$123+0.00001,"OK","NON OK")</f>
        <v>OK</v>
      </c>
    </row>
    <row r="124" spans="2:11" ht="25.5" x14ac:dyDescent="0.25">
      <c r="B124" s="7" t="s">
        <v>76</v>
      </c>
      <c r="C124" s="10">
        <f>$F$66</f>
        <v>117.98190000000001</v>
      </c>
      <c r="D124" s="5">
        <f>$K$66</f>
        <v>5.8356408906789933E-2</v>
      </c>
      <c r="E124" s="11" t="str">
        <f>IF($F$66&lt;=0,"N ≤ 0 : soulèvement",IF($K$66&lt;=$F$18/6+0.000001,"e &lt; B/6 =&gt; Diagramme Trapézoïdal",IF($K$66&lt;$F$18/2,"e &gt; B/6 =&gt; Diagramme triangulaire","e ≥ B/2 : instable")))</f>
        <v>e &lt; B/6 =&gt; Diagramme Trapézoïdal</v>
      </c>
      <c r="F124" s="3">
        <f>IF($F$66&lt;=0,0,IF($K$66&lt;=$F$18/6+0.000001,$F$66/($F$18*$E$18)*(1+6*$K$66/$F$18),IF($K$66&lt;$F$18/2,2*$F$66/(3*$E$18*($F$18/2-$K$66)),1000000000)))/100</f>
        <v>0.8861468821119709</v>
      </c>
      <c r="G124" s="3">
        <f>IF($F$66&lt;=0,0,IF($K$66&lt;=$F$18/6+0.000001,$F$66/($F$18*$E$18)*(1-6*$K$66/$F$18),0))/100</f>
        <v>0.510088620846609</v>
      </c>
      <c r="H124" s="10">
        <f>(3*$F$124+$G$124)/4</f>
        <v>0.79213231679563034</v>
      </c>
      <c r="I124" s="3">
        <f t="shared" si="3"/>
        <v>3</v>
      </c>
      <c r="J124" s="12">
        <f>$H$124/$I$124</f>
        <v>0.26404410559854347</v>
      </c>
      <c r="K124" s="9" t="str">
        <f>IF($H$124&lt;=$I$124+0.00001,"OK","NON OK")</f>
        <v>OK</v>
      </c>
    </row>
    <row r="125" spans="2:11" ht="25.5" x14ac:dyDescent="0.25">
      <c r="B125" s="7" t="s">
        <v>77</v>
      </c>
      <c r="C125" s="10">
        <f>$F$67</f>
        <v>42.394000000000005</v>
      </c>
      <c r="D125" s="5">
        <f>$K$67</f>
        <v>0.4210501486059347</v>
      </c>
      <c r="E125" s="11" t="str">
        <f>IF($F$67&lt;=0,"N ≤ 0 : soulèvement",IF($K$67&lt;=$F$18/6+0.000001,"e &lt; B/6 =&gt; Diagramme Trapézoïdal",IF($K$67&lt;$F$18/2,"e &gt; B/6 =&gt; Diagramme triangulaire","e ≥ B/2 : instable")))</f>
        <v>e &gt; B/6 =&gt; Diagramme triangulaire</v>
      </c>
      <c r="F125" s="3">
        <f>IF($F$67&lt;=0,0,IF($K$67&lt;=$F$18/6+0.000001,$F$67/($F$18*$E$18)*(1+6*$K$67/$F$18),IF($K$67&lt;$F$18/2,2*$F$67/(3*$E$18*($F$18/2-$K$67)),1000000000)))/100</f>
        <v>0.94957531914241566</v>
      </c>
      <c r="G125" s="3">
        <f>IF($F$67&lt;=0,0,IF($K$67&lt;=$F$18/6+0.000001,$F$67/($F$18*$E$18)*(1-6*$K$67/$F$18),0))/100</f>
        <v>0</v>
      </c>
      <c r="H125" s="10">
        <f>(3*$F$125+$G$125)/4</f>
        <v>0.71218148935681169</v>
      </c>
      <c r="I125" s="3">
        <f t="shared" si="3"/>
        <v>3</v>
      </c>
      <c r="J125" s="12">
        <f>$H$125/$I$125</f>
        <v>0.23739382978560389</v>
      </c>
      <c r="K125" s="9" t="str">
        <f>IF($H$125&lt;=$I$125+0.00001,"OK","NON OK")</f>
        <v>OK</v>
      </c>
    </row>
    <row r="126" spans="2:11" ht="25.5" x14ac:dyDescent="0.25">
      <c r="B126" s="7" t="s">
        <v>78</v>
      </c>
      <c r="C126" s="10">
        <f>$F$68</f>
        <v>87.394000000000005</v>
      </c>
      <c r="D126" s="5">
        <f>$K$68</f>
        <v>5.8356408906789933E-2</v>
      </c>
      <c r="E126" s="11" t="str">
        <f>IF($F$68&lt;=0,"N ≤ 0 : soulèvement",IF($K$68&lt;=$F$18/6+0.000001,"e &lt; B/6 =&gt; Diagramme Trapézoïdal",IF($K$68&lt;$F$18/2,"e &gt; B/6 =&gt; Diagramme triangulaire","e ≥ B/2 : instable")))</f>
        <v>e &lt; B/6 =&gt; Diagramme Trapézoïdal</v>
      </c>
      <c r="F126" s="3">
        <f>IF($F$68&lt;=0,0,IF($K$68&lt;=$F$18/6+0.000001,$F$68/($F$18*$E$18)*(1+6*$K$68/$F$18),IF($K$68&lt;$F$18/2,2*$F$68/(3*$E$18*($F$18/2-$K$68)),1000000000)))/100</f>
        <v>0.65640509786071921</v>
      </c>
      <c r="G126" s="3">
        <f>IF($F$68&lt;=0,0,IF($K$68&lt;=$F$18/6+0.000001,$F$68/($F$18*$E$18)*(1-6*$K$68/$F$18),0))/100</f>
        <v>0.37784342284933997</v>
      </c>
      <c r="H126" s="10">
        <f>(3*$F$126+$G$126)/4</f>
        <v>0.58676467910787444</v>
      </c>
      <c r="I126" s="3">
        <f t="shared" si="3"/>
        <v>3</v>
      </c>
      <c r="J126" s="12">
        <f>$H$126/$I$126</f>
        <v>0.19558822636929149</v>
      </c>
      <c r="K126" s="9" t="str">
        <f>IF($H$126&lt;=$I$126+0.00001,"OK","NON OK")</f>
        <v>OK</v>
      </c>
    </row>
    <row r="127" spans="2:11" ht="25.5" x14ac:dyDescent="0.25">
      <c r="B127" s="7" t="s">
        <v>79</v>
      </c>
      <c r="C127" s="10">
        <f>$F$69</f>
        <v>88.281900000000007</v>
      </c>
      <c r="D127" s="5">
        <f>$K$69</f>
        <v>0.15597761262501145</v>
      </c>
      <c r="E127" s="11" t="str">
        <f>IF($F$69&lt;=0,"N ≤ 0 : soulèvement",IF($K$69&lt;=$F$18/6+0.000001,"e &lt; B/6 =&gt; Diagramme Trapézoïdal",IF($K$69&lt;$F$18/2,"e &gt; B/6 =&gt; Diagramme triangulaire","e ≥ B/2 : instable")))</f>
        <v>e &lt; B/6 =&gt; Diagramme Trapézoïdal</v>
      </c>
      <c r="F127" s="3">
        <f>IF($F$69&lt;=0,0,IF($K$69&lt;=$F$18/6+0.000001,$F$69/($F$18*$E$18)*(1+6*$K$69/$F$18),IF($K$69&lt;$F$18/2,2*$F$69/(3*$E$18*($F$18/2-$K$69)),1000000000)))/100</f>
        <v>0.89843636777423752</v>
      </c>
      <c r="G127" s="3">
        <f>IF($F$69&lt;=0,0,IF($K$69&lt;=$F$18/6+0.000001,$F$69/($F$18*$E$18)*(1-6*$K$69/$F$18),0))/100</f>
        <v>0.14631984524351394</v>
      </c>
      <c r="H127" s="10">
        <f>(3*$F$127+$G$127)/4</f>
        <v>0.71040723714155662</v>
      </c>
      <c r="I127" s="3">
        <f t="shared" si="3"/>
        <v>3</v>
      </c>
      <c r="J127" s="12">
        <f>$H$127/$I$127</f>
        <v>0.23680241238051888</v>
      </c>
      <c r="K127" s="9" t="str">
        <f>IF($H$127&lt;=$I$127+0.00001,"OK","NON OK")</f>
        <v>OK</v>
      </c>
    </row>
    <row r="128" spans="2:11" ht="25.5" x14ac:dyDescent="0.25">
      <c r="B128" s="7" t="s">
        <v>80</v>
      </c>
      <c r="C128" s="10">
        <f>$F$70</f>
        <v>128.78190000000001</v>
      </c>
      <c r="D128" s="5">
        <f>$K$70</f>
        <v>5.3462481917101699E-2</v>
      </c>
      <c r="E128" s="11" t="str">
        <f>IF($F$70&lt;=0,"N ≤ 0 : soulèvement",IF($K$70&lt;=$F$18/6+0.000001,"e &lt; B/6 =&gt; Diagramme Trapézoïdal",IF($K$70&lt;$F$18/2,"e &gt; B/6 =&gt; Diagramme triangulaire","e ≥ B/2 : instable")))</f>
        <v>e &lt; B/6 =&gt; Diagramme Trapézoïdal</v>
      </c>
      <c r="F128" s="3">
        <f>IF($F$70&lt;=0,0,IF($K$70&lt;=$F$18/6+0.000001,$F$70/($F$18*$E$18)*(1+6*$K$70/$F$18),IF($K$70&lt;$F$18/2,2*$F$70/(3*$E$18*($F$18/2-$K$70)),1000000000)))/100</f>
        <v>0.95005220755575781</v>
      </c>
      <c r="G128" s="3">
        <f>IF($F$70&lt;=0,0,IF($K$70&lt;=$F$18/6+0.000001,$F$70/($F$18*$E$18)*(1-6*$K$70/$F$18),0))/100</f>
        <v>0.57399394629039591</v>
      </c>
      <c r="H128" s="10">
        <f>(3*$F$128+$G$128)/4</f>
        <v>0.85603764223941736</v>
      </c>
      <c r="I128" s="3">
        <f t="shared" si="3"/>
        <v>3</v>
      </c>
      <c r="J128" s="12">
        <f>$H$128/$I$128</f>
        <v>0.28534588074647244</v>
      </c>
      <c r="K128" s="9" t="str">
        <f>IF($H$128&lt;=$I$128+0.00001,"OK","NON OK")</f>
        <v>OK</v>
      </c>
    </row>
    <row r="129" spans="2:11" ht="25.5" x14ac:dyDescent="0.25">
      <c r="B129" s="7" t="s">
        <v>81</v>
      </c>
      <c r="C129" s="10">
        <f>$F$71</f>
        <v>77.48190000000001</v>
      </c>
      <c r="D129" s="5">
        <f>$K$71</f>
        <v>0.17771892532320449</v>
      </c>
      <c r="E129" s="11" t="str">
        <f>IF($F$71&lt;=0,"N ≤ 0 : soulèvement",IF($K$71&lt;=$F$18/6+0.000001,"e &lt; B/6 =&gt; Diagramme Trapézoïdal",IF($K$71&lt;$F$18/2,"e &gt; B/6 =&gt; Diagramme triangulaire","e ≥ B/2 : instable")))</f>
        <v>e &lt; B/6 =&gt; Diagramme Trapézoïdal</v>
      </c>
      <c r="F129" s="3">
        <f>IF($F$71&lt;=0,0,IF($K$71&lt;=$F$18/6+0.000001,$F$71/($F$18*$E$18)*(1+6*$K$71/$F$18),IF($K$71&lt;$F$18/2,2*$F$71/(3*$E$18*($F$18/2-$K$71)),1000000000)))/100</f>
        <v>0.83453104233045039</v>
      </c>
      <c r="G129" s="3">
        <f>IF($F$71&lt;=0,0,IF($K$71&lt;=$F$18/6+0.000001,$F$71/($F$18*$E$18)*(1-6*$K$71/$F$18),0))/100</f>
        <v>8.2414519799727012E-2</v>
      </c>
      <c r="H129" s="10">
        <f>(3*$F$129+$G$129)/4</f>
        <v>0.64650191169776949</v>
      </c>
      <c r="I129" s="3">
        <f t="shared" si="3"/>
        <v>3</v>
      </c>
      <c r="J129" s="12">
        <f>$H$129/$I$129</f>
        <v>0.21550063723258983</v>
      </c>
      <c r="K129" s="9" t="str">
        <f>IF($H$129&lt;=$I$129+0.00001,"OK","NON OK")</f>
        <v>OK</v>
      </c>
    </row>
    <row r="130" spans="2:11" ht="25.5" x14ac:dyDescent="0.25">
      <c r="B130" s="7" t="s">
        <v>82</v>
      </c>
      <c r="C130" s="10">
        <f>$F$72</f>
        <v>117.98190000000001</v>
      </c>
      <c r="D130" s="5">
        <f>$K$72</f>
        <v>5.8356408906789933E-2</v>
      </c>
      <c r="E130" s="11" t="str">
        <f>IF($F$72&lt;=0,"N ≤ 0 : soulèvement",IF($K$72&lt;=$F$18/6+0.000001,"e &lt; B/6 =&gt; Diagramme Trapézoïdal",IF($K$72&lt;$F$18/2,"e &gt; B/6 =&gt; Diagramme triangulaire","e ≥ B/2 : instable")))</f>
        <v>e &lt; B/6 =&gt; Diagramme Trapézoïdal</v>
      </c>
      <c r="F130" s="3">
        <f>IF($F$72&lt;=0,0,IF($K$72&lt;=$F$18/6+0.000001,$F$72/($F$18*$E$18)*(1+6*$K$72/$F$18),IF($K$72&lt;$F$18/2,2*$F$72/(3*$E$18*($F$18/2-$K$72)),1000000000)))/100</f>
        <v>0.8861468821119709</v>
      </c>
      <c r="G130" s="3">
        <f>IF($F$72&lt;=0,0,IF($K$72&lt;=$F$18/6+0.000001,$F$72/($F$18*$E$18)*(1-6*$K$72/$F$18),0))/100</f>
        <v>0.510088620846609</v>
      </c>
      <c r="H130" s="10">
        <f>(3*$F$130+$G$130)/4</f>
        <v>0.79213231679563034</v>
      </c>
      <c r="I130" s="3">
        <f t="shared" si="3"/>
        <v>3</v>
      </c>
      <c r="J130" s="12">
        <f>$H$130/$I$130</f>
        <v>0.26404410559854347</v>
      </c>
      <c r="K130" s="9" t="str">
        <f>IF($H$130&lt;=$I$130+0.00001,"OK","NON OK")</f>
        <v>OK</v>
      </c>
    </row>
    <row r="131" spans="2:11" ht="25.5" x14ac:dyDescent="0.25">
      <c r="B131" s="7" t="s">
        <v>83</v>
      </c>
      <c r="C131" s="10">
        <f>$F$73</f>
        <v>95.394000000000005</v>
      </c>
      <c r="D131" s="5">
        <f>$K$73</f>
        <v>5.3462481917101699E-2</v>
      </c>
      <c r="E131" s="11" t="str">
        <f>IF($F$73&lt;=0,"N ≤ 0 : soulèvement",IF($K$73&lt;=$F$18/6+0.000001,"e &lt; B/6 =&gt; Diagramme Trapézoïdal",IF($K$73&lt;$F$18/2,"e &gt; B/6 =&gt; Diagramme triangulaire","e ≥ B/2 : instable")))</f>
        <v>e &lt; B/6 =&gt; Diagramme Trapézoïdal</v>
      </c>
      <c r="F131" s="3">
        <f>IF($F$73&lt;=0,0,IF($K$73&lt;=$F$18/6+0.000001,$F$73/($F$18*$E$18)*(1+6*$K$73/$F$18),IF($K$73&lt;$F$18/2,2*$F$73/(3*$E$18*($F$18/2-$K$73)),1000000000)))/100</f>
        <v>0.70374237596722788</v>
      </c>
      <c r="G131" s="3">
        <f>IF($F$73&lt;=0,0,IF($K$73&lt;=$F$18/6+0.000001,$F$73/($F$18*$E$18)*(1-6*$K$73/$F$18),0))/100</f>
        <v>0.42518070095584881</v>
      </c>
      <c r="H131" s="10">
        <f>(3*$F$131+$G$131)/4</f>
        <v>0.63410195721438312</v>
      </c>
      <c r="I131" s="3">
        <f t="shared" ref="I131:I136" si="4">$B$10</f>
        <v>2</v>
      </c>
      <c r="J131" s="12">
        <f>$H$131/$I$131</f>
        <v>0.31705097860719156</v>
      </c>
      <c r="K131" s="9" t="str">
        <f>IF($H$131&lt;=$I$131+0.00001,"OK","NON OK")</f>
        <v>OK</v>
      </c>
    </row>
    <row r="132" spans="2:11" ht="25.5" x14ac:dyDescent="0.25">
      <c r="B132" s="7" t="s">
        <v>85</v>
      </c>
      <c r="C132" s="10">
        <f>$F$74</f>
        <v>87.394000000000005</v>
      </c>
      <c r="D132" s="5">
        <f>$K$74</f>
        <v>5.8356408906789933E-2</v>
      </c>
      <c r="E132" s="11" t="str">
        <f>IF($F$74&lt;=0,"N ≤ 0 : soulèvement",IF($K$74&lt;=$F$18/6+0.000001,"e &lt; B/6 =&gt; Diagramme Trapézoïdal",IF($K$74&lt;$F$18/2,"e &gt; B/6 =&gt; Diagramme triangulaire","e ≥ B/2 : instable")))</f>
        <v>e &lt; B/6 =&gt; Diagramme Trapézoïdal</v>
      </c>
      <c r="F132" s="3">
        <f>IF($F$74&lt;=0,0,IF($K$74&lt;=$F$18/6+0.000001,$F$74/($F$18*$E$18)*(1+6*$K$74/$F$18),IF($K$74&lt;$F$18/2,2*$F$74/(3*$E$18*($F$18/2-$K$74)),1000000000)))/100</f>
        <v>0.65640509786071921</v>
      </c>
      <c r="G132" s="3">
        <f>IF($F$74&lt;=0,0,IF($K$74&lt;=$F$18/6+0.000001,$F$74/($F$18*$E$18)*(1-6*$K$74/$F$18),0))/100</f>
        <v>0.37784342284933997</v>
      </c>
      <c r="H132" s="10">
        <f>(3*$F$132+$G$132)/4</f>
        <v>0.58676467910787444</v>
      </c>
      <c r="I132" s="3">
        <f t="shared" si="4"/>
        <v>2</v>
      </c>
      <c r="J132" s="12">
        <f>$H$132/$I$132</f>
        <v>0.29338233955393722</v>
      </c>
      <c r="K132" s="9" t="str">
        <f>IF($H$132&lt;=$I$132+0.00001,"OK","NON OK")</f>
        <v>OK</v>
      </c>
    </row>
    <row r="133" spans="2:11" ht="25.5" x14ac:dyDescent="0.25">
      <c r="B133" s="7" t="s">
        <v>86</v>
      </c>
      <c r="C133" s="10">
        <f>$F$75</f>
        <v>57.394000000000005</v>
      </c>
      <c r="D133" s="5">
        <f>$K$75</f>
        <v>0.17771892532320449</v>
      </c>
      <c r="E133" s="11" t="str">
        <f>IF($F$75&lt;=0,"N ≤ 0 : soulèvement",IF($K$75&lt;=$F$18/6+0.000001,"e &lt; B/6 =&gt; Diagramme Trapézoïdal",IF($K$75&lt;$F$18/2,"e &gt; B/6 =&gt; Diagramme triangulaire","e ≥ B/2 : instable")))</f>
        <v>e &lt; B/6 =&gt; Diagramme Trapézoïdal</v>
      </c>
      <c r="F133" s="3">
        <f>IF($F$75&lt;=0,0,IF($K$75&lt;=$F$18/6+0.000001,$F$75/($F$18*$E$18)*(1+6*$K$75/$F$18),IF($K$75&lt;$F$18/2,2*$F$75/(3*$E$18*($F$18/2-$K$75)),1000000000)))/100</f>
        <v>0.61817114246700045</v>
      </c>
      <c r="G133" s="3">
        <f>IF($F$75&lt;=0,0,IF($K$75&lt;=$F$18/6+0.000001,$F$75/($F$18*$E$18)*(1-6*$K$75/$F$18),0))/100</f>
        <v>6.1047792444242244E-2</v>
      </c>
      <c r="H133" s="10">
        <f>(3*$F$133+$G$133)/4</f>
        <v>0.47889030496131091</v>
      </c>
      <c r="I133" s="3">
        <f t="shared" si="4"/>
        <v>2</v>
      </c>
      <c r="J133" s="12">
        <f>$H$133/$I$133</f>
        <v>0.23944515248065545</v>
      </c>
      <c r="K133" s="9" t="str">
        <f>IF($H$133&lt;=$I$133+0.00001,"OK","NON OK")</f>
        <v>OK</v>
      </c>
    </row>
    <row r="134" spans="2:11" ht="25.5" x14ac:dyDescent="0.25">
      <c r="B134" s="7" t="s">
        <v>87</v>
      </c>
      <c r="C134" s="10">
        <f>$F$76</f>
        <v>87.394000000000005</v>
      </c>
      <c r="D134" s="5">
        <f>$K$76</f>
        <v>5.8356408906789933E-2</v>
      </c>
      <c r="E134" s="11" t="str">
        <f>IF($F$76&lt;=0,"N ≤ 0 : soulèvement",IF($K$76&lt;=$F$18/6+0.000001,"e &lt; B/6 =&gt; Diagramme Trapézoïdal",IF($K$76&lt;$F$18/2,"e &gt; B/6 =&gt; Diagramme triangulaire","e ≥ B/2 : instable")))</f>
        <v>e &lt; B/6 =&gt; Diagramme Trapézoïdal</v>
      </c>
      <c r="F134" s="3">
        <f>IF($F$76&lt;=0,0,IF($K$76&lt;=$F$18/6+0.000001,$F$76/($F$18*$E$18)*(1+6*$K$76/$F$18),IF($K$76&lt;$F$18/2,2*$F$76/(3*$E$18*($F$18/2-$K$76)),1000000000)))/100</f>
        <v>0.65640509786071921</v>
      </c>
      <c r="G134" s="3">
        <f>IF($F$76&lt;=0,0,IF($K$76&lt;=$F$18/6+0.000001,$F$76/($F$18*$E$18)*(1-6*$K$76/$F$18),0))/100</f>
        <v>0.37784342284933997</v>
      </c>
      <c r="H134" s="10">
        <f>(3*$F$134+$G$134)/4</f>
        <v>0.58676467910787444</v>
      </c>
      <c r="I134" s="3">
        <f t="shared" si="4"/>
        <v>2</v>
      </c>
      <c r="J134" s="12">
        <f>$H$134/$I$134</f>
        <v>0.29338233955393722</v>
      </c>
      <c r="K134" s="9" t="str">
        <f>IF($H$134&lt;=$I$134+0.00001,"OK","NON OK")</f>
        <v>OK</v>
      </c>
    </row>
    <row r="135" spans="2:11" ht="25.5" x14ac:dyDescent="0.25">
      <c r="B135" s="7" t="s">
        <v>88</v>
      </c>
      <c r="C135" s="10">
        <f>$F$77</f>
        <v>67.594000000000008</v>
      </c>
      <c r="D135" s="5">
        <f>$K$77</f>
        <v>0.12826582241027309</v>
      </c>
      <c r="E135" s="11" t="str">
        <f>IF($F$77&lt;=0,"N ≤ 0 : soulèvement",IF($K$77&lt;=$F$18/6+0.000001,"e &lt; B/6 =&gt; Diagramme Trapézoïdal",IF($K$77&lt;$F$18/2,"e &gt; B/6 =&gt; Diagramme triangulaire","e ≥ B/2 : instable")))</f>
        <v>e &lt; B/6 =&gt; Diagramme Trapézoïdal</v>
      </c>
      <c r="F135" s="3">
        <f>IF($F$77&lt;=0,0,IF($K$77&lt;=$F$18/6+0.000001,$F$77/($F$18*$E$18)*(1+6*$K$77/$F$18),IF($K$77&lt;$F$18/2,2*$F$77/(3*$E$18*($F$18/2-$K$77)),1000000000)))/100</f>
        <v>0.63674192080109249</v>
      </c>
      <c r="G135" s="3">
        <f>IF($F$77&lt;=0,0,IF($K$77&lt;=$F$18/6+0.000001,$F$77/($F$18*$E$18)*(1-6*$K$77/$F$18),0))/100</f>
        <v>0.16318707328174786</v>
      </c>
      <c r="H135" s="10">
        <f>(3*$F$135+$G$135)/4</f>
        <v>0.51835320892125636</v>
      </c>
      <c r="I135" s="3">
        <f t="shared" si="4"/>
        <v>2</v>
      </c>
      <c r="J135" s="12">
        <f>$H$135/$I$135</f>
        <v>0.25917660446062818</v>
      </c>
      <c r="K135" s="9" t="str">
        <f>IF($H$135&lt;=$I$135+0.00001,"OK","NON OK")</f>
        <v>OK</v>
      </c>
    </row>
    <row r="136" spans="2:11" ht="25.5" x14ac:dyDescent="0.25">
      <c r="B136" s="7" t="s">
        <v>89</v>
      </c>
      <c r="C136" s="10">
        <f>$F$78</f>
        <v>94.594000000000008</v>
      </c>
      <c r="D136" s="5">
        <f>$K$78</f>
        <v>5.3914624606211804E-2</v>
      </c>
      <c r="E136" s="11" t="str">
        <f>IF($F$78&lt;=0,"N ≤ 0 : soulèvement",IF($K$78&lt;=$F$18/6+0.000001,"e &lt; B/6 =&gt; Diagramme Trapézoïdal",IF($K$78&lt;$F$18/2,"e &gt; B/6 =&gt; Diagramme triangulaire","e ≥ B/2 : instable")))</f>
        <v>e &lt; B/6 =&gt; Diagramme Trapézoïdal</v>
      </c>
      <c r="F136" s="3">
        <f>IF($F$78&lt;=0,0,IF($K$78&lt;=$F$18/6+0.000001,$F$78/($F$18*$E$18)*(1+6*$K$78/$F$18),IF($K$78&lt;$F$18/2,2*$F$78/(3*$E$18*($F$18/2-$K$78)),1000000000)))/100</f>
        <v>0.69900864815657715</v>
      </c>
      <c r="G136" s="3">
        <f>IF($F$78&lt;=0,0,IF($K$78&lt;=$F$18/6+0.000001,$F$78/($F$18*$E$18)*(1-6*$K$78/$F$18),0))/100</f>
        <v>0.42044697314519797</v>
      </c>
      <c r="H136" s="10">
        <f>(3*$F$136+$G$136)/4</f>
        <v>0.62936822940373227</v>
      </c>
      <c r="I136" s="3">
        <f t="shared" si="4"/>
        <v>2</v>
      </c>
      <c r="J136" s="12">
        <f>$H$136/$I$136</f>
        <v>0.31468411470186614</v>
      </c>
      <c r="K136" s="9" t="str">
        <f>IF($H$136&lt;=$I$136+0.00001,"OK","NON OK")</f>
        <v>OK</v>
      </c>
    </row>
    <row r="137" spans="2:11" ht="28.5" x14ac:dyDescent="0.25">
      <c r="B137" s="7" t="s">
        <v>90</v>
      </c>
      <c r="C137" s="10">
        <f>$F$79</f>
        <v>100.59400000000001</v>
      </c>
      <c r="D137" s="5">
        <f>$K$79</f>
        <v>5.0698848837902849E-2</v>
      </c>
      <c r="E137" s="11" t="str">
        <f>IF($F$79&lt;=0,"N ≤ 0 : soulèvement",IF($K$79&lt;=$F$18/6+0.000001,"e &lt; B/6 =&gt; Diagramme Trapézoïdal",IF($K$79&lt;$F$18/2,"e &gt; B/6 =&gt; Diagramme triangulaire","e ≥ B/2 : instable")))</f>
        <v>e &lt; B/6 =&gt; Diagramme Trapézoïdal</v>
      </c>
      <c r="F137" s="3">
        <f>IF($F$79&lt;=0,0,IF($K$79&lt;=$F$18/6+0.000001,$F$79/($F$18*$E$18)*(1+6*$K$79/$F$18),IF($K$79&lt;$F$18/2,2*$F$79/(3*$E$18*($F$18/2-$K$79)),1000000000)))/100</f>
        <v>0.73451160673645877</v>
      </c>
      <c r="G137" s="3">
        <f>IF($F$79&lt;=0,0,IF($K$79&lt;=$F$18/6+0.000001,$F$79/($F$18*$E$18)*(1-6*$K$79/$F$18),0))/100</f>
        <v>0.45594993172507969</v>
      </c>
      <c r="H137" s="10">
        <f>(3*$F$137+$G$137)/4</f>
        <v>0.664871187983614</v>
      </c>
      <c r="I137" s="3">
        <f t="shared" ref="I137:I144" si="5">$D$10</f>
        <v>3</v>
      </c>
      <c r="J137" s="12">
        <f>$H$137/$I$137</f>
        <v>0.22162372932787133</v>
      </c>
      <c r="K137" s="9" t="str">
        <f>IF($H$137&lt;=$I$137+0.00001,"OK","NON OK")</f>
        <v>OK</v>
      </c>
    </row>
    <row r="138" spans="2:11" ht="28.5" x14ac:dyDescent="0.25">
      <c r="B138" s="7" t="s">
        <v>92</v>
      </c>
      <c r="C138" s="10">
        <f>$F$80</f>
        <v>100.59400000000001</v>
      </c>
      <c r="D138" s="5">
        <f>$K$80</f>
        <v>5.0698848837902849E-2</v>
      </c>
      <c r="E138" s="11" t="str">
        <f>IF($F$80&lt;=0,"N ≤ 0 : soulèvement",IF($K$80&lt;=$F$18/6+0.000001,"e &lt; B/6 =&gt; Diagramme Trapézoïdal",IF($K$80&lt;$F$18/2,"e &gt; B/6 =&gt; Diagramme triangulaire","e ≥ B/2 : instable")))</f>
        <v>e &lt; B/6 =&gt; Diagramme Trapézoïdal</v>
      </c>
      <c r="F138" s="3">
        <f>IF($F$80&lt;=0,0,IF($K$80&lt;=$F$18/6+0.000001,$F$80/($F$18*$E$18)*(1+6*$K$80/$F$18),IF($K$80&lt;$F$18/2,2*$F$80/(3*$E$18*($F$18/2-$K$80)),1000000000)))/100</f>
        <v>0.73451160673645877</v>
      </c>
      <c r="G138" s="3">
        <f>IF($F$80&lt;=0,0,IF($K$80&lt;=$F$18/6+0.000001,$F$80/($F$18*$E$18)*(1-6*$K$80/$F$18),0))/100</f>
        <v>0.45594993172507969</v>
      </c>
      <c r="H138" s="10">
        <f>(3*$F$138+$G$138)/4</f>
        <v>0.664871187983614</v>
      </c>
      <c r="I138" s="3">
        <f t="shared" si="5"/>
        <v>3</v>
      </c>
      <c r="J138" s="12">
        <f>$H$138/$I$138</f>
        <v>0.22162372932787133</v>
      </c>
      <c r="K138" s="9" t="str">
        <f>IF($H$138&lt;=$I$138+0.00001,"OK","NON OK")</f>
        <v>OK</v>
      </c>
    </row>
    <row r="139" spans="2:11" ht="28.5" x14ac:dyDescent="0.25">
      <c r="B139" s="7" t="s">
        <v>93</v>
      </c>
      <c r="C139" s="10">
        <f>$F$81</f>
        <v>93.034000000000006</v>
      </c>
      <c r="D139" s="5">
        <f>$K$81</f>
        <v>5.4818668443794731E-2</v>
      </c>
      <c r="E139" s="11" t="str">
        <f>IF($F$81&lt;=0,"N ≤ 0 : soulèvement",IF($K$81&lt;=$F$18/6+0.000001,"e &lt; B/6 =&gt; Diagramme Trapézoïdal",IF($K$81&lt;$F$18/2,"e &gt; B/6 =&gt; Diagramme triangulaire","e ≥ B/2 : instable")))</f>
        <v>e &lt; B/6 =&gt; Diagramme Trapézoïdal</v>
      </c>
      <c r="F139" s="3">
        <f>IF($F$81&lt;=0,0,IF($K$81&lt;=$F$18/6+0.000001,$F$81/($F$18*$E$18)*(1+6*$K$81/$F$18),IF($K$81&lt;$F$18/2,2*$F$81/(3*$E$18*($F$18/2-$K$81)),1000000000)))/100</f>
        <v>0.68977787892580789</v>
      </c>
      <c r="G139" s="3">
        <f>IF($F$81&lt;=0,0,IF($K$81&lt;=$F$18/6+0.000001,$F$81/($F$18*$E$18)*(1-6*$K$81/$F$18),0))/100</f>
        <v>0.41121620391442881</v>
      </c>
      <c r="H139" s="10">
        <f>(3*$F$139+$G$139)/4</f>
        <v>0.62013746017296312</v>
      </c>
      <c r="I139" s="3">
        <f t="shared" si="5"/>
        <v>3</v>
      </c>
      <c r="J139" s="12">
        <f>$H$139/$I$139</f>
        <v>0.20671248672432105</v>
      </c>
      <c r="K139" s="9" t="str">
        <f>IF($H$139&lt;=$I$139+0.00001,"OK","NON OK")</f>
        <v>OK</v>
      </c>
    </row>
    <row r="140" spans="2:11" ht="28.5" x14ac:dyDescent="0.25">
      <c r="B140" s="7" t="s">
        <v>94</v>
      </c>
      <c r="C140" s="10">
        <f>$F$82</f>
        <v>93.034000000000006</v>
      </c>
      <c r="D140" s="5">
        <f>$K$82</f>
        <v>5.4818668443794731E-2</v>
      </c>
      <c r="E140" s="11" t="str">
        <f>IF($F$82&lt;=0,"N ≤ 0 : soulèvement",IF($K$82&lt;=$F$18/6+0.000001,"e &lt; B/6 =&gt; Diagramme Trapézoïdal",IF($K$82&lt;$F$18/2,"e &gt; B/6 =&gt; Diagramme triangulaire","e ≥ B/2 : instable")))</f>
        <v>e &lt; B/6 =&gt; Diagramme Trapézoïdal</v>
      </c>
      <c r="F140" s="3">
        <f>IF($F$82&lt;=0,0,IF($K$82&lt;=$F$18/6+0.000001,$F$82/($F$18*$E$18)*(1+6*$K$82/$F$18),IF($K$82&lt;$F$18/2,2*$F$82/(3*$E$18*($F$18/2-$K$82)),1000000000)))/100</f>
        <v>0.68977787892580789</v>
      </c>
      <c r="G140" s="3">
        <f>IF($F$82&lt;=0,0,IF($K$82&lt;=$F$18/6+0.000001,$F$82/($F$18*$E$18)*(1-6*$K$82/$F$18),0))/100</f>
        <v>0.41121620391442881</v>
      </c>
      <c r="H140" s="10">
        <f>(3*$F$140+$G$140)/4</f>
        <v>0.62013746017296312</v>
      </c>
      <c r="I140" s="3">
        <f t="shared" si="5"/>
        <v>3</v>
      </c>
      <c r="J140" s="12">
        <f>$H$140/$I$140</f>
        <v>0.20671248672432105</v>
      </c>
      <c r="K140" s="9" t="str">
        <f>IF($H$140&lt;=$I$140+0.00001,"OK","NON OK")</f>
        <v>OK</v>
      </c>
    </row>
    <row r="141" spans="2:11" ht="28.5" x14ac:dyDescent="0.25">
      <c r="B141" s="7" t="s">
        <v>95</v>
      </c>
      <c r="C141" s="10">
        <f>$F$83</f>
        <v>78.994</v>
      </c>
      <c r="D141" s="5">
        <f>$K$83</f>
        <v>6.4561865458136053E-2</v>
      </c>
      <c r="E141" s="11" t="str">
        <f>IF($F$83&lt;=0,"N ≤ 0 : soulèvement",IF($K$83&lt;=$F$18/6+0.000001,"e &lt; B/6 =&gt; Diagramme Trapézoïdal",IF($K$83&lt;$F$18/2,"e &gt; B/6 =&gt; Diagramme triangulaire","e ≥ B/2 : instable")))</f>
        <v>e &lt; B/6 =&gt; Diagramme Trapézoïdal</v>
      </c>
      <c r="F141" s="3">
        <f>IF($F$83&lt;=0,0,IF($K$83&lt;=$F$18/6+0.000001,$F$83/($F$18*$E$18)*(1+6*$K$83/$F$18),IF($K$83&lt;$F$18/2,2*$F$83/(3*$E$18*($F$18/2-$K$83)),1000000000)))/100</f>
        <v>0.60670095584888473</v>
      </c>
      <c r="G141" s="3">
        <f>IF($F$83&lt;=0,0,IF($K$83&lt;=$F$18/6+0.000001,$F$83/($F$18*$E$18)*(1-6*$K$83/$F$18),0))/100</f>
        <v>0.32813928083750565</v>
      </c>
      <c r="H141" s="10">
        <f>(3*$F$141+$G$141)/4</f>
        <v>0.53706053709603996</v>
      </c>
      <c r="I141" s="3">
        <f t="shared" si="5"/>
        <v>3</v>
      </c>
      <c r="J141" s="12">
        <f>$H$141/$I$141</f>
        <v>0.17902017903201331</v>
      </c>
      <c r="K141" s="9" t="str">
        <f>IF($H$141&lt;=$I$141+0.00001,"OK","NON OK")</f>
        <v>OK</v>
      </c>
    </row>
    <row r="142" spans="2:11" ht="28.5" x14ac:dyDescent="0.25">
      <c r="B142" s="7" t="s">
        <v>96</v>
      </c>
      <c r="C142" s="10">
        <f>$F$84</f>
        <v>78.994</v>
      </c>
      <c r="D142" s="5">
        <f>$K$84</f>
        <v>6.4561865458136053E-2</v>
      </c>
      <c r="E142" s="11" t="str">
        <f>IF($F$84&lt;=0,"N ≤ 0 : soulèvement",IF($K$84&lt;=$F$18/6+0.000001,"e &lt; B/6 =&gt; Diagramme Trapézoïdal",IF($K$84&lt;$F$18/2,"e &gt; B/6 =&gt; Diagramme triangulaire","e ≥ B/2 : instable")))</f>
        <v>e &lt; B/6 =&gt; Diagramme Trapézoïdal</v>
      </c>
      <c r="F142" s="3">
        <f>IF($F$84&lt;=0,0,IF($K$84&lt;=$F$18/6+0.000001,$F$84/($F$18*$E$18)*(1+6*$K$84/$F$18),IF($K$84&lt;$F$18/2,2*$F$84/(3*$E$18*($F$18/2-$K$84)),1000000000)))/100</f>
        <v>0.60670095584888473</v>
      </c>
      <c r="G142" s="3">
        <f>IF($F$84&lt;=0,0,IF($K$84&lt;=$F$18/6+0.000001,$F$84/($F$18*$E$18)*(1-6*$K$84/$F$18),0))/100</f>
        <v>0.32813928083750565</v>
      </c>
      <c r="H142" s="10">
        <f>(3*$F$142+$G$142)/4</f>
        <v>0.53706053709603996</v>
      </c>
      <c r="I142" s="3">
        <f t="shared" si="5"/>
        <v>3</v>
      </c>
      <c r="J142" s="12">
        <f>$H$142/$I$142</f>
        <v>0.17902017903201331</v>
      </c>
      <c r="K142" s="9" t="str">
        <f>IF($H$142&lt;=$I$142+0.00001,"OK","NON OK")</f>
        <v>OK</v>
      </c>
    </row>
    <row r="143" spans="2:11" ht="28.5" x14ac:dyDescent="0.25">
      <c r="B143" s="7" t="s">
        <v>97</v>
      </c>
      <c r="C143" s="10">
        <f>$F$85</f>
        <v>86.554000000000002</v>
      </c>
      <c r="D143" s="5">
        <f>$K$85</f>
        <v>5.8922753425607127E-2</v>
      </c>
      <c r="E143" s="11" t="str">
        <f>IF($F$85&lt;=0,"N ≤ 0 : soulèvement",IF($K$85&lt;=$F$18/6+0.000001,"e &lt; B/6 =&gt; Diagramme Trapézoïdal",IF($K$85&lt;$F$18/2,"e &gt; B/6 =&gt; Diagramme triangulaire","e ≥ B/2 : instable")))</f>
        <v>e &lt; B/6 =&gt; Diagramme Trapézoïdal</v>
      </c>
      <c r="F143" s="3">
        <f>IF($F$85&lt;=0,0,IF($K$85&lt;=$F$18/6+0.000001,$F$85/($F$18*$E$18)*(1+6*$K$85/$F$18),IF($K$85&lt;$F$18/2,2*$F$85/(3*$E$18*($F$18/2-$K$85)),1000000000)))/100</f>
        <v>0.65143468365953572</v>
      </c>
      <c r="G143" s="3">
        <f>IF($F$85&lt;=0,0,IF($K$85&lt;=$F$18/6+0.000001,$F$85/($F$18*$E$18)*(1-6*$K$85/$F$18),0))/100</f>
        <v>0.37287300864815653</v>
      </c>
      <c r="H143" s="10">
        <f>(3*$F$143+$G$143)/4</f>
        <v>0.58179426490669095</v>
      </c>
      <c r="I143" s="3">
        <f t="shared" si="5"/>
        <v>3</v>
      </c>
      <c r="J143" s="12">
        <f>$H$143/$I$143</f>
        <v>0.19393142163556365</v>
      </c>
      <c r="K143" s="9" t="str">
        <f>IF($H$143&lt;=$I$143+0.00001,"OK","NON OK")</f>
        <v>OK</v>
      </c>
    </row>
    <row r="144" spans="2:11" ht="28.5" x14ac:dyDescent="0.25">
      <c r="B144" s="7" t="s">
        <v>98</v>
      </c>
      <c r="C144" s="10">
        <f>$F$86</f>
        <v>86.554000000000002</v>
      </c>
      <c r="D144" s="5">
        <f>$K$86</f>
        <v>5.8922753425607127E-2</v>
      </c>
      <c r="E144" s="11" t="str">
        <f>IF($F$86&lt;=0,"N ≤ 0 : soulèvement",IF($K$86&lt;=$F$18/6+0.000001,"e &lt; B/6 =&gt; Diagramme Trapézoïdal",IF($K$86&lt;$F$18/2,"e &gt; B/6 =&gt; Diagramme triangulaire","e ≥ B/2 : instable")))</f>
        <v>e &lt; B/6 =&gt; Diagramme Trapézoïdal</v>
      </c>
      <c r="F144" s="3">
        <f>IF($F$86&lt;=0,0,IF($K$86&lt;=$F$18/6+0.000001,$F$86/($F$18*$E$18)*(1+6*$K$86/$F$18),IF($K$86&lt;$F$18/2,2*$F$86/(3*$E$18*($F$18/2-$K$86)),1000000000)))/100</f>
        <v>0.65143468365953572</v>
      </c>
      <c r="G144" s="3">
        <f>IF($F$86&lt;=0,0,IF($K$86&lt;=$F$18/6+0.000001,$F$86/($F$18*$E$18)*(1-6*$K$86/$F$18),0))/100</f>
        <v>0.37287300864815653</v>
      </c>
      <c r="H144" s="10">
        <f>(3*$F$144+$G$144)/4</f>
        <v>0.58179426490669095</v>
      </c>
      <c r="I144" s="3">
        <f t="shared" si="5"/>
        <v>3</v>
      </c>
      <c r="J144" s="12">
        <f>$H$144/$I$144</f>
        <v>0.19393142163556365</v>
      </c>
      <c r="K144" s="9" t="str">
        <f>IF($H$144&lt;=$I$144+0.00001,"OK","NON OK")</f>
        <v>OK</v>
      </c>
    </row>
    <row r="146" spans="2:11" ht="20.100000000000001" customHeight="1" x14ac:dyDescent="0.25">
      <c r="B146" s="19" t="s">
        <v>140</v>
      </c>
      <c r="C146" s="18"/>
      <c r="D146" s="18"/>
      <c r="E146" s="18"/>
      <c r="F146" s="18"/>
      <c r="G146" s="18"/>
      <c r="H146" s="18"/>
      <c r="I146" s="18"/>
      <c r="J146" s="18"/>
      <c r="K146" s="18"/>
    </row>
    <row r="147" spans="2:11" ht="30" customHeight="1" x14ac:dyDescent="0.25">
      <c r="B147" s="24" t="s">
        <v>141</v>
      </c>
      <c r="C147" s="25"/>
      <c r="D147" s="25"/>
      <c r="E147" s="25"/>
      <c r="F147" s="25"/>
      <c r="G147" s="25"/>
      <c r="H147" s="25"/>
      <c r="I147" s="25"/>
      <c r="J147" s="25"/>
      <c r="K147" s="25"/>
    </row>
    <row r="148" spans="2:11" ht="20.100000000000001" customHeight="1" x14ac:dyDescent="0.25">
      <c r="B148" s="17" t="s">
        <v>63</v>
      </c>
      <c r="C148" s="18"/>
      <c r="D148" s="18"/>
      <c r="E148" s="1" t="s">
        <v>113</v>
      </c>
      <c r="F148" s="17" t="s">
        <v>142</v>
      </c>
      <c r="G148" s="18"/>
      <c r="H148" s="1" t="s">
        <v>143</v>
      </c>
      <c r="I148" s="1" t="s">
        <v>144</v>
      </c>
      <c r="J148" s="1" t="s">
        <v>145</v>
      </c>
      <c r="K148" s="1" t="s">
        <v>49</v>
      </c>
    </row>
    <row r="149" spans="2:11" ht="30" customHeight="1" x14ac:dyDescent="0.25">
      <c r="B149" s="33"/>
      <c r="C149" s="34"/>
      <c r="D149" s="34"/>
      <c r="E149" s="2"/>
      <c r="F149" s="33" t="s">
        <v>146</v>
      </c>
      <c r="G149" s="34"/>
      <c r="H149" s="2" t="s">
        <v>147</v>
      </c>
      <c r="I149" s="2" t="s">
        <v>148</v>
      </c>
      <c r="J149" s="2"/>
      <c r="K149" s="2"/>
    </row>
    <row r="150" spans="2:11" ht="15.75" x14ac:dyDescent="0.25">
      <c r="B150" s="22" t="s">
        <v>71</v>
      </c>
      <c r="C150" s="23"/>
      <c r="D150" s="23"/>
      <c r="E150" s="3">
        <v>1.35</v>
      </c>
      <c r="F150" s="15">
        <f>$G$27+$E$150*$J$57</f>
        <v>129.9819</v>
      </c>
      <c r="G150" s="16"/>
      <c r="H150" s="3">
        <f>IF($F$150&lt;=0,0,IF(ABS($H$63)&lt;0.000001,999,$F$150*$E$18/2/ABS($H$63)))</f>
        <v>999</v>
      </c>
      <c r="I150" s="3">
        <f>IF($F$150&lt;=0,0,IF(ABS($I$63)&lt;0.000001,999,$F$150*$F$18/2/ABS($I$63)))</f>
        <v>12.271348583877996</v>
      </c>
      <c r="J150" s="3">
        <v>1.5</v>
      </c>
      <c r="K150" s="9" t="str">
        <f>IF(MIN($H$150,$I$150)&gt;=$J$150-0.00001,"OK","NON OK")</f>
        <v>OK</v>
      </c>
    </row>
    <row r="151" spans="2:11" ht="15.75" x14ac:dyDescent="0.25">
      <c r="B151" s="22" t="s">
        <v>74</v>
      </c>
      <c r="C151" s="23"/>
      <c r="D151" s="23"/>
      <c r="E151" s="3">
        <v>1.35</v>
      </c>
      <c r="F151" s="15">
        <f>$G$28+$E$151*$J$57</f>
        <v>117.98190000000001</v>
      </c>
      <c r="G151" s="16"/>
      <c r="H151" s="3">
        <f>IF($F$151&lt;=0,0,IF(ABS($H$64)&lt;0.000001,999,$F$151*$E$18/2/ABS($H$64)))</f>
        <v>999</v>
      </c>
      <c r="I151" s="3">
        <f>IF($F$151&lt;=0,0,IF(ABS($I$64)&lt;0.000001,999,$F$151*$F$18/2/ABS($I$64)))</f>
        <v>11.138450980392157</v>
      </c>
      <c r="J151" s="3">
        <v>1.5</v>
      </c>
      <c r="K151" s="9" t="str">
        <f>IF(MIN($H$151,$I$151)&gt;=$J$151-0.00001,"OK","NON OK")</f>
        <v>OK</v>
      </c>
    </row>
    <row r="152" spans="2:11" ht="15.75" x14ac:dyDescent="0.25">
      <c r="B152" s="22" t="s">
        <v>75</v>
      </c>
      <c r="C152" s="23"/>
      <c r="D152" s="23"/>
      <c r="E152" s="3">
        <v>1.35</v>
      </c>
      <c r="F152" s="15">
        <f>$G$29+$E$152*$J$57</f>
        <v>72.98190000000001</v>
      </c>
      <c r="G152" s="16"/>
      <c r="H152" s="3">
        <f>IF($F$152&lt;=0,0,IF(ABS($H$65)&lt;0.000001,999,$F$152*$E$18/2/ABS($H$65)))</f>
        <v>999</v>
      </c>
      <c r="I152" s="3">
        <f>IF($F$152&lt;=0,0,IF(ABS($I$65)&lt;0.000001,999,$F$152*$F$18/2/ABS($I$65)))</f>
        <v>2.95289355742297</v>
      </c>
      <c r="J152" s="3">
        <v>1.5</v>
      </c>
      <c r="K152" s="9" t="str">
        <f>IF(MIN($H$152,$I$152)&gt;=$J$152-0.00001,"OK","NON OK")</f>
        <v>OK</v>
      </c>
    </row>
    <row r="153" spans="2:11" ht="15.75" x14ac:dyDescent="0.25">
      <c r="B153" s="22" t="s">
        <v>76</v>
      </c>
      <c r="C153" s="23"/>
      <c r="D153" s="23"/>
      <c r="E153" s="3">
        <v>1.35</v>
      </c>
      <c r="F153" s="15">
        <f>$G$30+$E$153*$J$57</f>
        <v>117.98190000000001</v>
      </c>
      <c r="G153" s="16"/>
      <c r="H153" s="3">
        <f>IF($F$153&lt;=0,0,IF(ABS($H$66)&lt;0.000001,999,$F$153*$E$18/2/ABS($H$66)))</f>
        <v>999</v>
      </c>
      <c r="I153" s="3">
        <f>IF($F$153&lt;=0,0,IF(ABS($I$66)&lt;0.000001,999,$F$153*$F$18/2/ABS($I$66)))</f>
        <v>11.138450980392157</v>
      </c>
      <c r="J153" s="3">
        <v>1.5</v>
      </c>
      <c r="K153" s="9" t="str">
        <f>IF(MIN($H$153,$I$153)&gt;=$J$153-0.00001,"OK","NON OK")</f>
        <v>OK</v>
      </c>
    </row>
    <row r="154" spans="2:11" ht="15.75" x14ac:dyDescent="0.25">
      <c r="B154" s="22" t="s">
        <v>77</v>
      </c>
      <c r="C154" s="23"/>
      <c r="D154" s="23"/>
      <c r="E154" s="3">
        <v>1</v>
      </c>
      <c r="F154" s="15">
        <f>$G$31+$E$154*$J$57</f>
        <v>42.394000000000005</v>
      </c>
      <c r="G154" s="16"/>
      <c r="H154" s="3">
        <f>IF($F$154&lt;=0,0,IF(ABS($H$67)&lt;0.000001,999,$F$154*$E$18/2/ABS($H$67)))</f>
        <v>999</v>
      </c>
      <c r="I154" s="3">
        <f>IF($F$154&lt;=0,0,IF(ABS($I$67)&lt;0.000001,999,$F$154*$F$18/2/ABS($I$67)))</f>
        <v>1.5437591036414571</v>
      </c>
      <c r="J154" s="3">
        <v>1.5</v>
      </c>
      <c r="K154" s="9" t="str">
        <f>IF(MIN($H$154,$I$154)&gt;=$J$154-0.00001,"OK","NON OK")</f>
        <v>OK</v>
      </c>
    </row>
    <row r="155" spans="2:11" ht="15.75" x14ac:dyDescent="0.25">
      <c r="B155" s="22" t="s">
        <v>78</v>
      </c>
      <c r="C155" s="23"/>
      <c r="D155" s="23"/>
      <c r="E155" s="3">
        <v>1</v>
      </c>
      <c r="F155" s="15">
        <f>$G$32+$E$155*$J$57</f>
        <v>87.394000000000005</v>
      </c>
      <c r="G155" s="16"/>
      <c r="H155" s="3">
        <f>IF($F$155&lt;=0,0,IF(ABS($H$68)&lt;0.000001,999,$F$155*$E$18/2/ABS($H$68)))</f>
        <v>999</v>
      </c>
      <c r="I155" s="3">
        <f>IF($F$155&lt;=0,0,IF(ABS($I$68)&lt;0.000001,999,$F$155*$F$18/2/ABS($I$68)))</f>
        <v>11.138450980392159</v>
      </c>
      <c r="J155" s="3">
        <v>1.5</v>
      </c>
      <c r="K155" s="9" t="str">
        <f>IF(MIN($H$155,$I$155)&gt;=$J$155-0.00001,"OK","NON OK")</f>
        <v>OK</v>
      </c>
    </row>
    <row r="156" spans="2:11" ht="15.75" x14ac:dyDescent="0.25">
      <c r="B156" s="22" t="s">
        <v>79</v>
      </c>
      <c r="C156" s="23"/>
      <c r="D156" s="23"/>
      <c r="E156" s="3">
        <v>1.35</v>
      </c>
      <c r="F156" s="15">
        <f>$G$33+$E$156*$J$57</f>
        <v>88.281900000000007</v>
      </c>
      <c r="G156" s="16"/>
      <c r="H156" s="3">
        <f>IF($F$156&lt;=0,0,IF(ABS($H$69)&lt;0.000001,999,$F$156*$E$18/2/ABS($H$69)))</f>
        <v>999</v>
      </c>
      <c r="I156" s="3">
        <f>IF($F$156&lt;=0,0,IF(ABS($I$69)&lt;0.000001,999,$F$156*$F$18/2/ABS($I$69)))</f>
        <v>4.1672647058823538</v>
      </c>
      <c r="J156" s="3">
        <v>1.5</v>
      </c>
      <c r="K156" s="9" t="str">
        <f>IF(MIN($H$156,$I$156)&gt;=$J$156-0.00001,"OK","NON OK")</f>
        <v>OK</v>
      </c>
    </row>
    <row r="157" spans="2:11" ht="15.75" x14ac:dyDescent="0.25">
      <c r="B157" s="22" t="s">
        <v>80</v>
      </c>
      <c r="C157" s="23"/>
      <c r="D157" s="23"/>
      <c r="E157" s="3">
        <v>1.35</v>
      </c>
      <c r="F157" s="15">
        <f>$G$34+$E$157*$J$57</f>
        <v>128.78190000000001</v>
      </c>
      <c r="G157" s="16"/>
      <c r="H157" s="3">
        <f>IF($F$157&lt;=0,0,IF(ABS($H$70)&lt;0.000001,999,$F$157*$E$18/2/ABS($H$70)))</f>
        <v>999</v>
      </c>
      <c r="I157" s="3">
        <f>IF($F$157&lt;=0,0,IF(ABS($I$70)&lt;0.000001,999,$F$157*$F$18/2/ABS($I$70)))</f>
        <v>12.158058823529412</v>
      </c>
      <c r="J157" s="3">
        <v>1.5</v>
      </c>
      <c r="K157" s="9" t="str">
        <f>IF(MIN($H$157,$I$157)&gt;=$J$157-0.00001,"OK","NON OK")</f>
        <v>OK</v>
      </c>
    </row>
    <row r="158" spans="2:11" ht="15.75" x14ac:dyDescent="0.25">
      <c r="B158" s="22" t="s">
        <v>81</v>
      </c>
      <c r="C158" s="23"/>
      <c r="D158" s="23"/>
      <c r="E158" s="3">
        <v>1.35</v>
      </c>
      <c r="F158" s="15">
        <f>$G$35+$E$158*$J$57</f>
        <v>77.48190000000001</v>
      </c>
      <c r="G158" s="16"/>
      <c r="H158" s="3">
        <f>IF($F$158&lt;=0,0,IF(ABS($H$71)&lt;0.000001,999,$F$158*$E$18/2/ABS($H$71)))</f>
        <v>999</v>
      </c>
      <c r="I158" s="3">
        <f>IF($F$158&lt;=0,0,IF(ABS($I$71)&lt;0.000001,999,$F$158*$F$18/2/ABS($I$71)))</f>
        <v>3.6574607843137263</v>
      </c>
      <c r="J158" s="3">
        <v>1.5</v>
      </c>
      <c r="K158" s="9" t="str">
        <f>IF(MIN($H$158,$I$158)&gt;=$J$158-0.00001,"OK","NON OK")</f>
        <v>OK</v>
      </c>
    </row>
    <row r="159" spans="2:11" ht="15.75" x14ac:dyDescent="0.25">
      <c r="B159" s="22" t="s">
        <v>82</v>
      </c>
      <c r="C159" s="23"/>
      <c r="D159" s="23"/>
      <c r="E159" s="3">
        <v>1.35</v>
      </c>
      <c r="F159" s="15">
        <f>$G$36+$E$159*$J$57</f>
        <v>117.98190000000001</v>
      </c>
      <c r="G159" s="16"/>
      <c r="H159" s="3">
        <f>IF($F$159&lt;=0,0,IF(ABS($H$72)&lt;0.000001,999,$F$159*$E$18/2/ABS($H$72)))</f>
        <v>999</v>
      </c>
      <c r="I159" s="3">
        <f>IF($F$159&lt;=0,0,IF(ABS($I$72)&lt;0.000001,999,$F$159*$F$18/2/ABS($I$72)))</f>
        <v>11.138450980392157</v>
      </c>
      <c r="J159" s="3">
        <v>1.5</v>
      </c>
      <c r="K159" s="9" t="str">
        <f>IF(MIN($H$159,$I$159)&gt;=$J$159-0.00001,"OK","NON OK")</f>
        <v>OK</v>
      </c>
    </row>
    <row r="160" spans="2:11" ht="15.75" x14ac:dyDescent="0.25">
      <c r="B160" s="22" t="s">
        <v>83</v>
      </c>
      <c r="C160" s="23"/>
      <c r="D160" s="23"/>
      <c r="E160" s="3">
        <v>1</v>
      </c>
      <c r="F160" s="15">
        <f>$G$37+$E$160*$J$57</f>
        <v>95.394000000000005</v>
      </c>
      <c r="G160" s="16"/>
      <c r="H160" s="3">
        <f>IF($F$160&lt;=0,0,IF(ABS($H$73)&lt;0.000001,999,$F$160*$E$18/2/ABS($H$73)))</f>
        <v>999</v>
      </c>
      <c r="I160" s="3">
        <f>IF($F$160&lt;=0,0,IF(ABS($I$73)&lt;0.000001,999,$F$160*$F$18/2/ABS($I$73)))</f>
        <v>12.158058823529414</v>
      </c>
      <c r="J160" s="3">
        <v>1.5</v>
      </c>
      <c r="K160" s="9" t="str">
        <f>IF(MIN($H$160,$I$160)&gt;=$J$160-0.00001,"OK","NON OK")</f>
        <v>OK</v>
      </c>
    </row>
    <row r="161" spans="2:11" ht="15.75" x14ac:dyDescent="0.25">
      <c r="B161" s="22" t="s">
        <v>85</v>
      </c>
      <c r="C161" s="23"/>
      <c r="D161" s="23"/>
      <c r="E161" s="3">
        <v>1</v>
      </c>
      <c r="F161" s="15">
        <f>$G$38+$E$161*$J$57</f>
        <v>87.394000000000005</v>
      </c>
      <c r="G161" s="16"/>
      <c r="H161" s="3">
        <f>IF($F$161&lt;=0,0,IF(ABS($H$74)&lt;0.000001,999,$F$161*$E$18/2/ABS($H$74)))</f>
        <v>999</v>
      </c>
      <c r="I161" s="3">
        <f>IF($F$161&lt;=0,0,IF(ABS($I$74)&lt;0.000001,999,$F$161*$F$18/2/ABS($I$74)))</f>
        <v>11.138450980392159</v>
      </c>
      <c r="J161" s="3">
        <v>1.5</v>
      </c>
      <c r="K161" s="9" t="str">
        <f>IF(MIN($H$161,$I$161)&gt;=$J$161-0.00001,"OK","NON OK")</f>
        <v>OK</v>
      </c>
    </row>
    <row r="162" spans="2:11" ht="15.75" x14ac:dyDescent="0.25">
      <c r="B162" s="22" t="s">
        <v>86</v>
      </c>
      <c r="C162" s="23"/>
      <c r="D162" s="23"/>
      <c r="E162" s="3">
        <v>1</v>
      </c>
      <c r="F162" s="15">
        <f>$G$39+$E$162*$J$57</f>
        <v>57.394000000000005</v>
      </c>
      <c r="G162" s="16"/>
      <c r="H162" s="3">
        <f>IF($F$162&lt;=0,0,IF(ABS($H$75)&lt;0.000001,999,$F$162*$E$18/2/ABS($H$75)))</f>
        <v>999</v>
      </c>
      <c r="I162" s="3">
        <f>IF($F$162&lt;=0,0,IF(ABS($I$75)&lt;0.000001,999,$F$162*$F$18/2/ABS($I$75)))</f>
        <v>3.6574607843137263</v>
      </c>
      <c r="J162" s="3">
        <v>1.5</v>
      </c>
      <c r="K162" s="9" t="str">
        <f>IF(MIN($H$162,$I$162)&gt;=$J$162-0.00001,"OK","NON OK")</f>
        <v>OK</v>
      </c>
    </row>
    <row r="163" spans="2:11" ht="15.75" x14ac:dyDescent="0.25">
      <c r="B163" s="22" t="s">
        <v>87</v>
      </c>
      <c r="C163" s="23"/>
      <c r="D163" s="23"/>
      <c r="E163" s="3">
        <v>1</v>
      </c>
      <c r="F163" s="15">
        <f>$G$40+$E$163*$J$57</f>
        <v>87.394000000000005</v>
      </c>
      <c r="G163" s="16"/>
      <c r="H163" s="3">
        <f>IF($F$163&lt;=0,0,IF(ABS($H$76)&lt;0.000001,999,$F$163*$E$18/2/ABS($H$76)))</f>
        <v>999</v>
      </c>
      <c r="I163" s="3">
        <f>IF($F$163&lt;=0,0,IF(ABS($I$76)&lt;0.000001,999,$F$163*$F$18/2/ABS($I$76)))</f>
        <v>11.138450980392159</v>
      </c>
      <c r="J163" s="3">
        <v>1.5</v>
      </c>
      <c r="K163" s="9" t="str">
        <f>IF(MIN($H$163,$I$163)&gt;=$J$163-0.00001,"OK","NON OK")</f>
        <v>OK</v>
      </c>
    </row>
    <row r="164" spans="2:11" ht="15.75" x14ac:dyDescent="0.25">
      <c r="B164" s="22" t="s">
        <v>88</v>
      </c>
      <c r="C164" s="23"/>
      <c r="D164" s="23"/>
      <c r="E164" s="3">
        <v>1</v>
      </c>
      <c r="F164" s="15">
        <f>$G$41+$E$164*$J$57</f>
        <v>67.594000000000008</v>
      </c>
      <c r="G164" s="16"/>
      <c r="H164" s="3">
        <f>IF($F$164&lt;=0,0,IF(ABS($H$77)&lt;0.000001,999,$F$164*$E$18/2/ABS($H$77)))</f>
        <v>999</v>
      </c>
      <c r="I164" s="3">
        <f>IF($F$164&lt;=0,0,IF(ABS($I$77)&lt;0.000001,999,$F$164*$F$18/2/ABS($I$77)))</f>
        <v>5.0676009227220309</v>
      </c>
      <c r="J164" s="3">
        <v>1.5</v>
      </c>
      <c r="K164" s="9" t="str">
        <f>IF(MIN($H$164,$I$164)&gt;=$J$164-0.00001,"OK","NON OK")</f>
        <v>OK</v>
      </c>
    </row>
    <row r="165" spans="2:11" ht="15.75" x14ac:dyDescent="0.25">
      <c r="B165" s="22" t="s">
        <v>89</v>
      </c>
      <c r="C165" s="23"/>
      <c r="D165" s="23"/>
      <c r="E165" s="3">
        <v>1</v>
      </c>
      <c r="F165" s="15">
        <f>$G$42+$E$165*$J$57</f>
        <v>94.594000000000008</v>
      </c>
      <c r="G165" s="16"/>
      <c r="H165" s="3">
        <f>IF($F$165&lt;=0,0,IF(ABS($H$78)&lt;0.000001,999,$F$165*$E$18/2/ABS($H$78)))</f>
        <v>999</v>
      </c>
      <c r="I165" s="3">
        <f>IF($F$165&lt;=0,0,IF(ABS($I$78)&lt;0.000001,999,$F$165*$F$18/2/ABS($I$78)))</f>
        <v>12.056098039215689</v>
      </c>
      <c r="J165" s="3">
        <v>1.5</v>
      </c>
      <c r="K165" s="9" t="str">
        <f>IF(MIN($H$165,$I$165)&gt;=$J$165-0.00001,"OK","NON OK")</f>
        <v>OK</v>
      </c>
    </row>
    <row r="166" spans="2:11" ht="15.75" x14ac:dyDescent="0.25">
      <c r="B166" s="22" t="s">
        <v>90</v>
      </c>
      <c r="C166" s="23"/>
      <c r="D166" s="23"/>
      <c r="E166" s="3">
        <v>1</v>
      </c>
      <c r="F166" s="15">
        <f>$G$43+$E$166*$J$57</f>
        <v>100.59400000000001</v>
      </c>
      <c r="G166" s="16"/>
      <c r="H166" s="3">
        <f>IF($F$166&lt;=0,0,IF(ABS($H$79)&lt;0.000001,999,$F$166*$E$18/2/ABS($H$79)))</f>
        <v>1.7806672113289765</v>
      </c>
      <c r="I166" s="3">
        <f>IF($F$166&lt;=0,0,IF(ABS($I$79)&lt;0.000001,999,$F$166*$F$18/2/ABS($I$79)))</f>
        <v>12.820803921568631</v>
      </c>
      <c r="J166" s="3">
        <v>1.3</v>
      </c>
      <c r="K166" s="9" t="str">
        <f>IF(MIN($H$166,$I$166)&gt;=$J$166-0.00001,"OK","NON OK")</f>
        <v>OK</v>
      </c>
    </row>
    <row r="167" spans="2:11" ht="15.75" x14ac:dyDescent="0.25">
      <c r="B167" s="22" t="s">
        <v>92</v>
      </c>
      <c r="C167" s="23"/>
      <c r="D167" s="23"/>
      <c r="E167" s="3">
        <v>1</v>
      </c>
      <c r="F167" s="15">
        <f>$G$44+$E$167*$J$57</f>
        <v>100.59400000000001</v>
      </c>
      <c r="G167" s="16"/>
      <c r="H167" s="3">
        <f>IF($F$167&lt;=0,0,IF(ABS($H$80)&lt;0.000001,999,$F$167*$E$18/2/ABS($H$80)))</f>
        <v>1.7806672113289765</v>
      </c>
      <c r="I167" s="3">
        <f>IF($F$167&lt;=0,0,IF(ABS($I$80)&lt;0.000001,999,$F$167*$F$18/2/ABS($I$80)))</f>
        <v>12.820803921568631</v>
      </c>
      <c r="J167" s="3">
        <v>1.3</v>
      </c>
      <c r="K167" s="9" t="str">
        <f>IF(MIN($H$167,$I$167)&gt;=$J$167-0.00001,"OK","NON OK")</f>
        <v>OK</v>
      </c>
    </row>
    <row r="168" spans="2:11" ht="15.75" x14ac:dyDescent="0.25">
      <c r="B168" s="22" t="s">
        <v>93</v>
      </c>
      <c r="C168" s="23"/>
      <c r="D168" s="23"/>
      <c r="E168" s="3">
        <v>1</v>
      </c>
      <c r="F168" s="15">
        <f>$G$45+$E$168*$J$57</f>
        <v>93.034000000000006</v>
      </c>
      <c r="G168" s="16"/>
      <c r="H168" s="3">
        <f>IF($F$168&lt;=0,0,IF(ABS($H$81)&lt;0.000001,999,$F$168*$E$18/2/ABS($H$81)))</f>
        <v>5.4894789397240382</v>
      </c>
      <c r="I168" s="3">
        <f>IF($F$168&lt;=0,0,IF(ABS($I$81)&lt;0.000001,999,$F$168*$F$18/2/ABS($I$81)))</f>
        <v>11.857274509803924</v>
      </c>
      <c r="J168" s="3">
        <v>1.3</v>
      </c>
      <c r="K168" s="9" t="str">
        <f>IF(MIN($H$168,$I$168)&gt;=$J$168-0.00001,"OK","NON OK")</f>
        <v>OK</v>
      </c>
    </row>
    <row r="169" spans="2:11" ht="15.75" x14ac:dyDescent="0.25">
      <c r="B169" s="22" t="s">
        <v>94</v>
      </c>
      <c r="C169" s="23"/>
      <c r="D169" s="23"/>
      <c r="E169" s="3">
        <v>1</v>
      </c>
      <c r="F169" s="15">
        <f>$G$46+$E$169*$J$57</f>
        <v>93.034000000000006</v>
      </c>
      <c r="G169" s="16"/>
      <c r="H169" s="3">
        <f>IF($F$169&lt;=0,0,IF(ABS($H$82)&lt;0.000001,999,$F$169*$E$18/2/ABS($H$82)))</f>
        <v>5.4894789397240382</v>
      </c>
      <c r="I169" s="3">
        <f>IF($F$169&lt;=0,0,IF(ABS($I$82)&lt;0.000001,999,$F$169*$F$18/2/ABS($I$82)))</f>
        <v>11.857274509803924</v>
      </c>
      <c r="J169" s="3">
        <v>1.3</v>
      </c>
      <c r="K169" s="9" t="str">
        <f>IF(MIN($H$169,$I$169)&gt;=$J$169-0.00001,"OK","NON OK")</f>
        <v>OK</v>
      </c>
    </row>
    <row r="170" spans="2:11" ht="15.75" x14ac:dyDescent="0.25">
      <c r="B170" s="22" t="s">
        <v>95</v>
      </c>
      <c r="C170" s="23"/>
      <c r="D170" s="23"/>
      <c r="E170" s="3">
        <v>1</v>
      </c>
      <c r="F170" s="15">
        <f>$G$47+$E$170*$J$57</f>
        <v>78.994</v>
      </c>
      <c r="G170" s="16"/>
      <c r="H170" s="3">
        <f>IF($F$170&lt;=0,0,IF(ABS($H$83)&lt;0.000001,999,$F$170*$E$18/2/ABS($H$83)))</f>
        <v>1.3983142701525055</v>
      </c>
      <c r="I170" s="3">
        <f>IF($F$170&lt;=0,0,IF(ABS($I$83)&lt;0.000001,999,$F$170*$F$18/2/ABS($I$83)))</f>
        <v>10.06786274509804</v>
      </c>
      <c r="J170" s="3">
        <v>1.3</v>
      </c>
      <c r="K170" s="9" t="str">
        <f>IF(MIN($H$170,$I$170)&gt;=$J$170-0.00001,"OK","NON OK")</f>
        <v>OK</v>
      </c>
    </row>
    <row r="171" spans="2:11" ht="15.75" x14ac:dyDescent="0.25">
      <c r="B171" s="22" t="s">
        <v>96</v>
      </c>
      <c r="C171" s="23"/>
      <c r="D171" s="23"/>
      <c r="E171" s="3">
        <v>1</v>
      </c>
      <c r="F171" s="15">
        <f>$G$48+$E$171*$J$57</f>
        <v>78.994</v>
      </c>
      <c r="G171" s="16"/>
      <c r="H171" s="3">
        <f>IF($F$171&lt;=0,0,IF(ABS($H$84)&lt;0.000001,999,$F$171*$E$18/2/ABS($H$84)))</f>
        <v>1.3983142701525055</v>
      </c>
      <c r="I171" s="3">
        <f>IF($F$171&lt;=0,0,IF(ABS($I$84)&lt;0.000001,999,$F$171*$F$18/2/ABS($I$84)))</f>
        <v>10.06786274509804</v>
      </c>
      <c r="J171" s="3">
        <v>1.3</v>
      </c>
      <c r="K171" s="9" t="str">
        <f>IF(MIN($H$171,$I$171)&gt;=$J$171-0.00001,"OK","NON OK")</f>
        <v>OK</v>
      </c>
    </row>
    <row r="172" spans="2:11" ht="15.75" x14ac:dyDescent="0.25">
      <c r="B172" s="22" t="s">
        <v>97</v>
      </c>
      <c r="C172" s="23"/>
      <c r="D172" s="23"/>
      <c r="E172" s="3">
        <v>1</v>
      </c>
      <c r="F172" s="15">
        <f>$G$49+$E$172*$J$57</f>
        <v>86.554000000000002</v>
      </c>
      <c r="G172" s="16"/>
      <c r="H172" s="3">
        <f>IF($F$172&lt;=0,0,IF(ABS($H$85)&lt;0.000001,999,$F$172*$E$18/2/ABS($H$85)))</f>
        <v>5.1071259985475672</v>
      </c>
      <c r="I172" s="3">
        <f>IF($F$172&lt;=0,0,IF(ABS($I$85)&lt;0.000001,999,$F$172*$F$18/2/ABS($I$85)))</f>
        <v>11.031392156862745</v>
      </c>
      <c r="J172" s="3">
        <v>1.3</v>
      </c>
      <c r="K172" s="9" t="str">
        <f>IF(MIN($H$172,$I$172)&gt;=$J$172-0.00001,"OK","NON OK")</f>
        <v>OK</v>
      </c>
    </row>
    <row r="173" spans="2:11" ht="15.75" x14ac:dyDescent="0.25">
      <c r="B173" s="22" t="s">
        <v>98</v>
      </c>
      <c r="C173" s="23"/>
      <c r="D173" s="23"/>
      <c r="E173" s="3">
        <v>1</v>
      </c>
      <c r="F173" s="15">
        <f>$G$50+$E$173*$J$57</f>
        <v>86.554000000000002</v>
      </c>
      <c r="G173" s="16"/>
      <c r="H173" s="3">
        <f>IF($F$173&lt;=0,0,IF(ABS($H$86)&lt;0.000001,999,$F$173*$E$18/2/ABS($H$86)))</f>
        <v>5.1071259985475672</v>
      </c>
      <c r="I173" s="3">
        <f>IF($F$173&lt;=0,0,IF(ABS($I$86)&lt;0.000001,999,$F$173*$F$18/2/ABS($I$86)))</f>
        <v>11.031392156862745</v>
      </c>
      <c r="J173" s="3">
        <v>1.3</v>
      </c>
      <c r="K173" s="9" t="str">
        <f>IF(MIN($H$173,$I$173)&gt;=$J$173-0.00001,"OK","NON OK")</f>
        <v>OK</v>
      </c>
    </row>
    <row r="175" spans="2:11" ht="20.100000000000001" customHeight="1" x14ac:dyDescent="0.25">
      <c r="B175" s="19" t="s">
        <v>149</v>
      </c>
      <c r="C175" s="18"/>
      <c r="D175" s="18"/>
      <c r="E175" s="18"/>
      <c r="F175" s="18"/>
      <c r="G175" s="18"/>
      <c r="H175" s="18"/>
      <c r="I175" s="18"/>
      <c r="J175" s="18"/>
      <c r="K175" s="18"/>
    </row>
    <row r="176" spans="2:11" ht="30" customHeight="1" x14ac:dyDescent="0.25">
      <c r="B176" s="24" t="s">
        <v>150</v>
      </c>
      <c r="C176" s="25"/>
      <c r="D176" s="25"/>
      <c r="E176" s="25"/>
      <c r="F176" s="25"/>
      <c r="G176" s="25"/>
      <c r="H176" s="25"/>
      <c r="I176" s="25"/>
      <c r="J176" s="25"/>
      <c r="K176" s="25"/>
    </row>
    <row r="177" spans="2:11" ht="20.100000000000001" customHeight="1" x14ac:dyDescent="0.25">
      <c r="B177" s="17" t="s">
        <v>63</v>
      </c>
      <c r="C177" s="18"/>
      <c r="D177" s="1" t="s">
        <v>151</v>
      </c>
      <c r="E177" s="1" t="s">
        <v>142</v>
      </c>
      <c r="F177" s="1" t="s">
        <v>152</v>
      </c>
      <c r="G177" s="1" t="s">
        <v>153</v>
      </c>
      <c r="H177" s="1" t="s">
        <v>154</v>
      </c>
      <c r="I177" s="1" t="s">
        <v>155</v>
      </c>
      <c r="J177" s="1" t="s">
        <v>145</v>
      </c>
      <c r="K177" s="1" t="s">
        <v>49</v>
      </c>
    </row>
    <row r="178" spans="2:11" ht="30" customHeight="1" x14ac:dyDescent="0.25">
      <c r="B178" s="33"/>
      <c r="C178" s="34"/>
      <c r="D178" s="2" t="s">
        <v>156</v>
      </c>
      <c r="E178" s="2" t="s">
        <v>146</v>
      </c>
      <c r="F178" s="2"/>
      <c r="G178" s="2"/>
      <c r="H178" s="2" t="s">
        <v>157</v>
      </c>
      <c r="I178" s="2" t="s">
        <v>158</v>
      </c>
      <c r="J178" s="2"/>
      <c r="K178" s="2"/>
    </row>
    <row r="179" spans="2:11" ht="15.75" x14ac:dyDescent="0.25">
      <c r="B179" s="22" t="s">
        <v>71</v>
      </c>
      <c r="C179" s="23"/>
      <c r="D179" s="3">
        <f>SQRT($J$27^2+$K$27^2)</f>
        <v>4.05</v>
      </c>
      <c r="E179" s="10">
        <f>$G$27+1.35*$J$57</f>
        <v>129.9819</v>
      </c>
      <c r="F179" s="5">
        <f>IF($E$179&lt;=0,0,IF(ABS($H$63)/$E$179&lt;=$E$18/6+0.000001,$E$18,MIN(3*($E$18/2-ABS($H$63)/$E$179),$E$18)))</f>
        <v>1.3</v>
      </c>
      <c r="G179" s="5">
        <f>IF($E$179&lt;=0,0,IF(ABS($I$63)/$E$179&lt;=$F$18/6+0.000001,$F$18,MIN(3*($F$18/2-ABS($I$63)/$E$179),$F$18)))</f>
        <v>1.3</v>
      </c>
      <c r="H179" s="3">
        <f>MAX($E$179,0)*TAN(RADIANS($J$7))+$K$7*$F$179*$G$179</f>
        <v>69.112602175279164</v>
      </c>
      <c r="I179" s="3">
        <f>$H$179/$D$179</f>
        <v>17.064840043278807</v>
      </c>
      <c r="J179" s="3">
        <v>1.5</v>
      </c>
      <c r="K179" s="9" t="str">
        <f>IF($I$179&gt;=$J$179-0.00001,"OK","NON OK")</f>
        <v>OK</v>
      </c>
    </row>
    <row r="180" spans="2:11" ht="15.75" x14ac:dyDescent="0.25">
      <c r="B180" s="22" t="s">
        <v>74</v>
      </c>
      <c r="C180" s="23"/>
      <c r="D180" s="3">
        <f>SQRT($J$28^2+$K$28^2)</f>
        <v>4.05</v>
      </c>
      <c r="E180" s="10">
        <f>$G$28+1.35*$J$57</f>
        <v>117.98190000000001</v>
      </c>
      <c r="F180" s="5">
        <f>IF($E$180&lt;=0,0,IF(ABS($H$64)/$E$180&lt;=$E$18/6+0.000001,$E$18,MIN(3*($E$18/2-ABS($H$64)/$E$180),$E$18)))</f>
        <v>1.3</v>
      </c>
      <c r="G180" s="5">
        <f>IF($E$180&lt;=0,0,IF(ABS($I$64)/$E$180&lt;=$F$18/6+0.000001,$F$18,MIN(3*($F$18/2-ABS($I$64)/$E$180),$F$18)))</f>
        <v>1.3</v>
      </c>
      <c r="H180" s="3">
        <f>MAX($E$180,0)*TAN(RADIANS($J$7))+$K$7*$F$180*$G$180</f>
        <v>62.732088995341428</v>
      </c>
      <c r="I180" s="3">
        <f>$H$180/$D$180</f>
        <v>15.489404690207762</v>
      </c>
      <c r="J180" s="3">
        <v>1.5</v>
      </c>
      <c r="K180" s="9" t="str">
        <f>IF($I$180&gt;=$J$180-0.00001,"OK","NON OK")</f>
        <v>OK</v>
      </c>
    </row>
    <row r="181" spans="2:11" ht="15.75" x14ac:dyDescent="0.25">
      <c r="B181" s="22" t="s">
        <v>75</v>
      </c>
      <c r="C181" s="23"/>
      <c r="D181" s="3">
        <f>SQRT($J$29^2+$K$29^2)</f>
        <v>9.4499999999999993</v>
      </c>
      <c r="E181" s="10">
        <f>$G$29+1.35*$J$57</f>
        <v>72.98190000000001</v>
      </c>
      <c r="F181" s="5">
        <f>IF($E$181&lt;=0,0,IF(ABS($H$65)/$E$181&lt;=$E$18/6+0.000001,$E$18,MIN(3*($E$18/2-ABS($H$65)/$E$181),$E$18)))</f>
        <v>1.3</v>
      </c>
      <c r="G181" s="5">
        <f>IF($E$181&lt;=0,0,IF(ABS($I$65)/$E$181&lt;=$F$18/6+0.000001,$F$18,MIN(3*($F$18/2-ABS($I$65)/$E$181),$F$18)))</f>
        <v>1.2896307851672817</v>
      </c>
      <c r="H181" s="3">
        <f>MAX($E$181,0)*TAN(RADIANS($J$7))+$K$7*$F$181*$G$181</f>
        <v>38.805164570574881</v>
      </c>
      <c r="I181" s="3">
        <f>$H$181/$D$181</f>
        <v>4.1063666212248551</v>
      </c>
      <c r="J181" s="3">
        <v>1.5</v>
      </c>
      <c r="K181" s="9" t="str">
        <f>IF($I$181&gt;=$J$181-0.00001,"OK","NON OK")</f>
        <v>OK</v>
      </c>
    </row>
    <row r="182" spans="2:11" ht="15.75" x14ac:dyDescent="0.25">
      <c r="B182" s="22" t="s">
        <v>76</v>
      </c>
      <c r="C182" s="23"/>
      <c r="D182" s="3">
        <f>SQRT($J$30^2+$K$30^2)</f>
        <v>4.05</v>
      </c>
      <c r="E182" s="10">
        <f>$G$30+1.35*$J$57</f>
        <v>117.98190000000001</v>
      </c>
      <c r="F182" s="5">
        <f>IF($E$182&lt;=0,0,IF(ABS($H$66)/$E$182&lt;=$E$18/6+0.000001,$E$18,MIN(3*($E$18/2-ABS($H$66)/$E$182),$E$18)))</f>
        <v>1.3</v>
      </c>
      <c r="G182" s="5">
        <f>IF($E$182&lt;=0,0,IF(ABS($I$66)/$E$182&lt;=$F$18/6+0.000001,$F$18,MIN(3*($F$18/2-ABS($I$66)/$E$182),$F$18)))</f>
        <v>1.3</v>
      </c>
      <c r="H182" s="3">
        <f>MAX($E$182,0)*TAN(RADIANS($J$7))+$K$7*$F$182*$G$182</f>
        <v>62.732088995341428</v>
      </c>
      <c r="I182" s="3">
        <f>$H$182/$D$182</f>
        <v>15.489404690207762</v>
      </c>
      <c r="J182" s="3">
        <v>1.5</v>
      </c>
      <c r="K182" s="9" t="str">
        <f>IF($I$182&gt;=$J$182-0.00001,"OK","NON OK")</f>
        <v>OK</v>
      </c>
    </row>
    <row r="183" spans="2:11" ht="15.75" x14ac:dyDescent="0.25">
      <c r="B183" s="22" t="s">
        <v>77</v>
      </c>
      <c r="C183" s="23"/>
      <c r="D183" s="3">
        <f>SQRT($J$31^2+$K$31^2)</f>
        <v>10.5</v>
      </c>
      <c r="E183" s="10">
        <f>$G$31+1*$J$57</f>
        <v>42.394000000000005</v>
      </c>
      <c r="F183" s="5">
        <f>IF($E$183&lt;=0,0,IF(ABS($H$67)/$E$183&lt;=$E$18/6+0.000001,$E$18,MIN(3*($E$18/2-ABS($H$67)/$E$183),$E$18)))</f>
        <v>1.3</v>
      </c>
      <c r="G183" s="5">
        <f>IF($E$183&lt;=0,0,IF(ABS($I$67)/$E$183&lt;=$F$18/6+0.000001,$F$18,MIN(3*($F$18/2-ABS($I$67)/$E$183),$F$18)))</f>
        <v>0.68684955418219595</v>
      </c>
      <c r="H183" s="3">
        <f>MAX($E$183,0)*TAN(RADIANS($J$7))+$K$7*$F$183*$G$183</f>
        <v>22.541289645856732</v>
      </c>
      <c r="I183" s="3">
        <f>$H$183/$D$183</f>
        <v>2.1467894900815936</v>
      </c>
      <c r="J183" s="3">
        <v>1.5</v>
      </c>
      <c r="K183" s="9" t="str">
        <f>IF($I$183&gt;=$J$183-0.00001,"OK","NON OK")</f>
        <v>OK</v>
      </c>
    </row>
    <row r="184" spans="2:11" ht="15.75" x14ac:dyDescent="0.25">
      <c r="B184" s="22" t="s">
        <v>78</v>
      </c>
      <c r="C184" s="23"/>
      <c r="D184" s="3">
        <f>SQRT($J$32^2+$K$32^2)</f>
        <v>3</v>
      </c>
      <c r="E184" s="10">
        <f>$G$32+1*$J$57</f>
        <v>87.394000000000005</v>
      </c>
      <c r="F184" s="5">
        <f>IF($E$184&lt;=0,0,IF(ABS($H$68)/$E$184&lt;=$E$18/6+0.000001,$E$18,MIN(3*($E$18/2-ABS($H$68)/$E$184),$E$18)))</f>
        <v>1.3</v>
      </c>
      <c r="G184" s="5">
        <f>IF($E$184&lt;=0,0,IF(ABS($I$68)/$E$184&lt;=$F$18/6+0.000001,$F$18,MIN(3*($F$18/2-ABS($I$68)/$E$184),$F$18)))</f>
        <v>1.3</v>
      </c>
      <c r="H184" s="3">
        <f>MAX($E$184,0)*TAN(RADIANS($J$7))+$K$7*$F$184*$G$184</f>
        <v>46.468214070623276</v>
      </c>
      <c r="I184" s="3">
        <f>$H$184/$D$184</f>
        <v>15.489404690207758</v>
      </c>
      <c r="J184" s="3">
        <v>1.5</v>
      </c>
      <c r="K184" s="9" t="str">
        <f>IF($I$184&gt;=$J$184-0.00001,"OK","NON OK")</f>
        <v>OK</v>
      </c>
    </row>
    <row r="185" spans="2:11" ht="15.75" x14ac:dyDescent="0.25">
      <c r="B185" s="22" t="s">
        <v>79</v>
      </c>
      <c r="C185" s="23"/>
      <c r="D185" s="3">
        <f>SQRT($J$33^2+$K$33^2)</f>
        <v>8.1</v>
      </c>
      <c r="E185" s="10">
        <f>$G$33+1.35*$J$57</f>
        <v>88.281900000000007</v>
      </c>
      <c r="F185" s="5">
        <f>IF($E$185&lt;=0,0,IF(ABS($H$69)/$E$185&lt;=$E$18/6+0.000001,$E$18,MIN(3*($E$18/2-ABS($H$69)/$E$185),$E$18)))</f>
        <v>1.3</v>
      </c>
      <c r="G185" s="5">
        <f>IF($E$185&lt;=0,0,IF(ABS($I$69)/$E$185&lt;=$F$18/6+0.000001,$F$18,MIN(3*($F$18/2-ABS($I$69)/$E$185),$F$18)))</f>
        <v>1.3</v>
      </c>
      <c r="H185" s="3">
        <f>MAX($E$185,0)*TAN(RADIANS($J$7))+$K$7*$F$185*$G$185</f>
        <v>46.940318874995505</v>
      </c>
      <c r="I185" s="3">
        <f>$H$185/$D$185</f>
        <v>5.7951010956784579</v>
      </c>
      <c r="J185" s="3">
        <v>1.5</v>
      </c>
      <c r="K185" s="9" t="str">
        <f>IF($I$185&gt;=$J$185-0.00001,"OK","NON OK")</f>
        <v>OK</v>
      </c>
    </row>
    <row r="186" spans="2:11" ht="15.75" x14ac:dyDescent="0.25">
      <c r="B186" s="22" t="s">
        <v>80</v>
      </c>
      <c r="C186" s="23"/>
      <c r="D186" s="3">
        <f>SQRT($J$34^2+$K$34^2)</f>
        <v>4.05</v>
      </c>
      <c r="E186" s="10">
        <f>$G$34+1.35*$J$57</f>
        <v>128.78190000000001</v>
      </c>
      <c r="F186" s="5">
        <f>IF($E$186&lt;=0,0,IF(ABS($H$70)/$E$186&lt;=$E$18/6+0.000001,$E$18,MIN(3*($E$18/2-ABS($H$70)/$E$186),$E$18)))</f>
        <v>1.3</v>
      </c>
      <c r="G186" s="5">
        <f>IF($E$186&lt;=0,0,IF(ABS($I$70)/$E$186&lt;=$F$18/6+0.000001,$F$18,MIN(3*($F$18/2-ABS($I$70)/$E$186),$F$18)))</f>
        <v>1.3</v>
      </c>
      <c r="H186" s="3">
        <f>MAX($E$186,0)*TAN(RADIANS($J$7))+$K$7*$F$186*$G$186</f>
        <v>68.474550857285394</v>
      </c>
      <c r="I186" s="3">
        <f>$H$186/$D$186</f>
        <v>16.907296507971704</v>
      </c>
      <c r="J186" s="3">
        <v>1.5</v>
      </c>
      <c r="K186" s="9" t="str">
        <f>IF($I$186&gt;=$J$186-0.00001,"OK","NON OK")</f>
        <v>OK</v>
      </c>
    </row>
    <row r="187" spans="2:11" ht="15.75" x14ac:dyDescent="0.25">
      <c r="B187" s="22" t="s">
        <v>81</v>
      </c>
      <c r="C187" s="23"/>
      <c r="D187" s="3">
        <f>SQRT($J$35^2+$K$35^2)</f>
        <v>8.1</v>
      </c>
      <c r="E187" s="10">
        <f>$G$35+1.35*$J$57</f>
        <v>77.48190000000001</v>
      </c>
      <c r="F187" s="5">
        <f>IF($E$187&lt;=0,0,IF(ABS($H$71)/$E$187&lt;=$E$18/6+0.000001,$E$18,MIN(3*($E$18/2-ABS($H$71)/$E$187),$E$18)))</f>
        <v>1.3</v>
      </c>
      <c r="G187" s="5">
        <f>IF($E$187&lt;=0,0,IF(ABS($I$71)/$E$187&lt;=$F$18/6+0.000001,$F$18,MIN(3*($F$18/2-ABS($I$71)/$E$187),$F$18)))</f>
        <v>1.3</v>
      </c>
      <c r="H187" s="3">
        <f>MAX($E$187,0)*TAN(RADIANS($J$7))+$K$7*$F$187*$G$187</f>
        <v>41.197857013051539</v>
      </c>
      <c r="I187" s="3">
        <f>$H$187/$D$187</f>
        <v>5.0861551867964865</v>
      </c>
      <c r="J187" s="3">
        <v>1.5</v>
      </c>
      <c r="K187" s="9" t="str">
        <f>IF($I$187&gt;=$J$187-0.00001,"OK","NON OK")</f>
        <v>OK</v>
      </c>
    </row>
    <row r="188" spans="2:11" ht="15.75" x14ac:dyDescent="0.25">
      <c r="B188" s="22" t="s">
        <v>82</v>
      </c>
      <c r="C188" s="23"/>
      <c r="D188" s="3">
        <f>SQRT($J$36^2+$K$36^2)</f>
        <v>4.05</v>
      </c>
      <c r="E188" s="10">
        <f>$G$36+1.35*$J$57</f>
        <v>117.98190000000001</v>
      </c>
      <c r="F188" s="5">
        <f>IF($E$188&lt;=0,0,IF(ABS($H$72)/$E$188&lt;=$E$18/6+0.000001,$E$18,MIN(3*($E$18/2-ABS($H$72)/$E$188),$E$18)))</f>
        <v>1.3</v>
      </c>
      <c r="G188" s="5">
        <f>IF($E$188&lt;=0,0,IF(ABS($I$72)/$E$188&lt;=$F$18/6+0.000001,$F$18,MIN(3*($F$18/2-ABS($I$72)/$E$188),$F$18)))</f>
        <v>1.3</v>
      </c>
      <c r="H188" s="3">
        <f>MAX($E$188,0)*TAN(RADIANS($J$7))+$K$7*$F$188*$G$188</f>
        <v>62.732088995341428</v>
      </c>
      <c r="I188" s="3">
        <f>$H$188/$D$188</f>
        <v>15.489404690207762</v>
      </c>
      <c r="J188" s="3">
        <v>1.5</v>
      </c>
      <c r="K188" s="9" t="str">
        <f>IF($I$188&gt;=$J$188-0.00001,"OK","NON OK")</f>
        <v>OK</v>
      </c>
    </row>
    <row r="189" spans="2:11" ht="15.75" x14ac:dyDescent="0.25">
      <c r="B189" s="22" t="s">
        <v>83</v>
      </c>
      <c r="C189" s="23"/>
      <c r="D189" s="3">
        <f>SQRT($J$37^2+$K$37^2)</f>
        <v>3</v>
      </c>
      <c r="E189" s="10">
        <f>$G$37+1*$J$57</f>
        <v>95.394000000000005</v>
      </c>
      <c r="F189" s="5">
        <f>IF($E$189&lt;=0,0,IF(ABS($H$73)/$E$189&lt;=$E$18/6+0.000001,$E$18,MIN(3*($E$18/2-ABS($H$73)/$E$189),$E$18)))</f>
        <v>1.3</v>
      </c>
      <c r="G189" s="5">
        <f>IF($E$189&lt;=0,0,IF(ABS($I$73)/$E$189&lt;=$F$18/6+0.000001,$F$18,MIN(3*($F$18/2-ABS($I$73)/$E$189),$F$18)))</f>
        <v>1.3</v>
      </c>
      <c r="H189" s="3">
        <f>MAX($E$189,0)*TAN(RADIANS($J$7))+$K$7*$F$189*$G$189</f>
        <v>50.72188952391511</v>
      </c>
      <c r="I189" s="3">
        <f>$H$189/$D$189</f>
        <v>16.907296507971704</v>
      </c>
      <c r="J189" s="3">
        <v>1.5</v>
      </c>
      <c r="K189" s="9" t="str">
        <f>IF($I$189&gt;=$J$189-0.00001,"OK","NON OK")</f>
        <v>OK</v>
      </c>
    </row>
    <row r="190" spans="2:11" ht="15.75" x14ac:dyDescent="0.25">
      <c r="B190" s="22" t="s">
        <v>85</v>
      </c>
      <c r="C190" s="23"/>
      <c r="D190" s="3">
        <f>SQRT($J$38^2+$K$38^2)</f>
        <v>3</v>
      </c>
      <c r="E190" s="10">
        <f>$G$38+1*$J$57</f>
        <v>87.394000000000005</v>
      </c>
      <c r="F190" s="5">
        <f>IF($E$190&lt;=0,0,IF(ABS($H$74)/$E$190&lt;=$E$18/6+0.000001,$E$18,MIN(3*($E$18/2-ABS($H$74)/$E$190),$E$18)))</f>
        <v>1.3</v>
      </c>
      <c r="G190" s="5">
        <f>IF($E$190&lt;=0,0,IF(ABS($I$74)/$E$190&lt;=$F$18/6+0.000001,$F$18,MIN(3*($F$18/2-ABS($I$74)/$E$190),$F$18)))</f>
        <v>1.3</v>
      </c>
      <c r="H190" s="3">
        <f>MAX($E$190,0)*TAN(RADIANS($J$7))+$K$7*$F$190*$G$190</f>
        <v>46.468214070623276</v>
      </c>
      <c r="I190" s="3">
        <f>$H$190/$D$190</f>
        <v>15.489404690207758</v>
      </c>
      <c r="J190" s="3">
        <v>1.5</v>
      </c>
      <c r="K190" s="9" t="str">
        <f>IF($I$190&gt;=$J$190-0.00001,"OK","NON OK")</f>
        <v>OK</v>
      </c>
    </row>
    <row r="191" spans="2:11" ht="15.75" x14ac:dyDescent="0.25">
      <c r="B191" s="22" t="s">
        <v>86</v>
      </c>
      <c r="C191" s="23"/>
      <c r="D191" s="3">
        <f>SQRT($J$39^2+$K$39^2)</f>
        <v>6</v>
      </c>
      <c r="E191" s="10">
        <f>$G$39+1*$J$57</f>
        <v>57.394000000000005</v>
      </c>
      <c r="F191" s="5">
        <f>IF($E$191&lt;=0,0,IF(ABS($H$75)/$E$191&lt;=$E$18/6+0.000001,$E$18,MIN(3*($E$18/2-ABS($H$75)/$E$191),$E$18)))</f>
        <v>1.3</v>
      </c>
      <c r="G191" s="5">
        <f>IF($E$191&lt;=0,0,IF(ABS($I$75)/$E$191&lt;=$F$18/6+0.000001,$F$18,MIN(3*($F$18/2-ABS($I$75)/$E$191),$F$18)))</f>
        <v>1.3</v>
      </c>
      <c r="H191" s="3">
        <f>MAX($E$191,0)*TAN(RADIANS($J$7))+$K$7*$F$191*$G$191</f>
        <v>30.516931120778917</v>
      </c>
      <c r="I191" s="3">
        <f>$H$191/$D$191</f>
        <v>5.0861551867964865</v>
      </c>
      <c r="J191" s="3">
        <v>1.5</v>
      </c>
      <c r="K191" s="9" t="str">
        <f>IF($I$191&gt;=$J$191-0.00001,"OK","NON OK")</f>
        <v>OK</v>
      </c>
    </row>
    <row r="192" spans="2:11" ht="15.75" x14ac:dyDescent="0.25">
      <c r="B192" s="22" t="s">
        <v>87</v>
      </c>
      <c r="C192" s="23"/>
      <c r="D192" s="3">
        <f>SQRT($J$40^2+$K$40^2)</f>
        <v>3</v>
      </c>
      <c r="E192" s="10">
        <f>$G$40+1*$J$57</f>
        <v>87.394000000000005</v>
      </c>
      <c r="F192" s="5">
        <f>IF($E$192&lt;=0,0,IF(ABS($H$76)/$E$192&lt;=$E$18/6+0.000001,$E$18,MIN(3*($E$18/2-ABS($H$76)/$E$192),$E$18)))</f>
        <v>1.3</v>
      </c>
      <c r="G192" s="5">
        <f>IF($E$192&lt;=0,0,IF(ABS($I$76)/$E$192&lt;=$F$18/6+0.000001,$F$18,MIN(3*($F$18/2-ABS($I$76)/$E$192),$F$18)))</f>
        <v>1.3</v>
      </c>
      <c r="H192" s="3">
        <f>MAX($E$192,0)*TAN(RADIANS($J$7))+$K$7*$F$192*$G$192</f>
        <v>46.468214070623276</v>
      </c>
      <c r="I192" s="3">
        <f>$H$192/$D$192</f>
        <v>15.489404690207758</v>
      </c>
      <c r="J192" s="3">
        <v>1.5</v>
      </c>
      <c r="K192" s="9" t="str">
        <f>IF($I$192&gt;=$J$192-0.00001,"OK","NON OK")</f>
        <v>OK</v>
      </c>
    </row>
    <row r="193" spans="2:11" ht="15.75" x14ac:dyDescent="0.25">
      <c r="B193" s="22" t="s">
        <v>88</v>
      </c>
      <c r="C193" s="23"/>
      <c r="D193" s="3">
        <f>SQRT($J$41^2+$K$41^2)</f>
        <v>5.0999999999999996</v>
      </c>
      <c r="E193" s="10">
        <f>$G$41+1*$J$57</f>
        <v>67.594000000000008</v>
      </c>
      <c r="F193" s="5">
        <f>IF($E$193&lt;=0,0,IF(ABS($H$77)/$E$193&lt;=$E$18/6+0.000001,$E$18,MIN(3*($E$18/2-ABS($H$77)/$E$193),$E$18)))</f>
        <v>1.3</v>
      </c>
      <c r="G193" s="5">
        <f>IF($E$193&lt;=0,0,IF(ABS($I$77)/$E$193&lt;=$F$18/6+0.000001,$F$18,MIN(3*($F$18/2-ABS($I$77)/$E$193),$F$18)))</f>
        <v>1.3</v>
      </c>
      <c r="H193" s="3">
        <f>MAX($E$193,0)*TAN(RADIANS($J$7))+$K$7*$F$193*$G$193</f>
        <v>35.940367323726001</v>
      </c>
      <c r="I193" s="3">
        <f>$H$193/$D$193</f>
        <v>7.0471308477894121</v>
      </c>
      <c r="J193" s="3">
        <v>1.5</v>
      </c>
      <c r="K193" s="9" t="str">
        <f>IF($I$193&gt;=$J$193-0.00001,"OK","NON OK")</f>
        <v>OK</v>
      </c>
    </row>
    <row r="194" spans="2:11" ht="15.75" x14ac:dyDescent="0.25">
      <c r="B194" s="22" t="s">
        <v>89</v>
      </c>
      <c r="C194" s="23"/>
      <c r="D194" s="3">
        <f>SQRT($J$42^2+$K$42^2)</f>
        <v>3</v>
      </c>
      <c r="E194" s="10">
        <f>$G$42+1*$J$57</f>
        <v>94.594000000000008</v>
      </c>
      <c r="F194" s="5">
        <f>IF($E$194&lt;=0,0,IF(ABS($H$78)/$E$194&lt;=$E$18/6+0.000001,$E$18,MIN(3*($E$18/2-ABS($H$78)/$E$194),$E$18)))</f>
        <v>1.3</v>
      </c>
      <c r="G194" s="5">
        <f>IF($E$194&lt;=0,0,IF(ABS($I$78)/$E$194&lt;=$F$18/6+0.000001,$F$18,MIN(3*($F$18/2-ABS($I$78)/$E$194),$F$18)))</f>
        <v>1.3</v>
      </c>
      <c r="H194" s="3">
        <f>MAX($E$194,0)*TAN(RADIANS($J$7))+$K$7*$F$194*$G$194</f>
        <v>50.296521978585929</v>
      </c>
      <c r="I194" s="3">
        <f>$H$194/$D$194</f>
        <v>16.765507326195308</v>
      </c>
      <c r="J194" s="3">
        <v>1.5</v>
      </c>
      <c r="K194" s="9" t="str">
        <f>IF($I$194&gt;=$J$194-0.00001,"OK","NON OK")</f>
        <v>OK</v>
      </c>
    </row>
    <row r="195" spans="2:11" ht="15.75" x14ac:dyDescent="0.25">
      <c r="B195" s="22" t="s">
        <v>90</v>
      </c>
      <c r="C195" s="23"/>
      <c r="D195" s="3">
        <f>SQRT($J$43^2+$K$43^2)</f>
        <v>21.807338214463499</v>
      </c>
      <c r="E195" s="10">
        <f>$G$43+1*$J$57</f>
        <v>100.59400000000001</v>
      </c>
      <c r="F195" s="5">
        <f>IF($E$195&lt;=0,0,IF(ABS($H$79)/$E$195&lt;=$E$18/6+0.000001,$E$18,MIN(3*($E$18/2-ABS($H$79)/$E$195),$E$18)))</f>
        <v>0.85490486510129848</v>
      </c>
      <c r="G195" s="5">
        <f>IF($E$195&lt;=0,0,IF(ABS($I$79)/$E$195&lt;=$F$18/6+0.000001,$F$18,MIN(3*($F$18/2-ABS($I$79)/$E$195),$F$18)))</f>
        <v>1.3</v>
      </c>
      <c r="H195" s="3">
        <f>MAX($E$195,0)*TAN(RADIANS($J$7))+$K$7*$F$195*$G$195</f>
        <v>53.486778568554797</v>
      </c>
      <c r="I195" s="3">
        <f>$H$195/$D$195</f>
        <v>2.4526963374686521</v>
      </c>
      <c r="J195" s="3">
        <v>1.25</v>
      </c>
      <c r="K195" s="9" t="str">
        <f>IF($I$195&gt;=$J$195-0.00001,"OK","NON OK")</f>
        <v>OK</v>
      </c>
    </row>
    <row r="196" spans="2:11" ht="15.75" x14ac:dyDescent="0.25">
      <c r="B196" s="22" t="s">
        <v>92</v>
      </c>
      <c r="C196" s="23"/>
      <c r="D196" s="3">
        <f>SQRT($J$44^2+$K$44^2)</f>
        <v>21.807338214463499</v>
      </c>
      <c r="E196" s="10">
        <f>$G$44+1*$J$57</f>
        <v>100.59400000000001</v>
      </c>
      <c r="F196" s="5">
        <f>IF($E$196&lt;=0,0,IF(ABS($H$80)/$E$196&lt;=$E$18/6+0.000001,$E$18,MIN(3*($E$18/2-ABS($H$80)/$E$196),$E$18)))</f>
        <v>0.85490486510129848</v>
      </c>
      <c r="G196" s="5">
        <f>IF($E$196&lt;=0,0,IF(ABS($I$80)/$E$196&lt;=$F$18/6+0.000001,$F$18,MIN(3*($F$18/2-ABS($I$80)/$E$196),$F$18)))</f>
        <v>1.3</v>
      </c>
      <c r="H196" s="3">
        <f>MAX($E$196,0)*TAN(RADIANS($J$7))+$K$7*$F$196*$G$196</f>
        <v>53.486778568554797</v>
      </c>
      <c r="I196" s="3">
        <f>$H$196/$D$196</f>
        <v>2.4526963374686521</v>
      </c>
      <c r="J196" s="3">
        <v>1.25</v>
      </c>
      <c r="K196" s="9" t="str">
        <f>IF($I$196&gt;=$J$196-0.00001,"OK","NON OK")</f>
        <v>OK</v>
      </c>
    </row>
    <row r="197" spans="2:11" ht="15.75" x14ac:dyDescent="0.25">
      <c r="B197" s="22" t="s">
        <v>93</v>
      </c>
      <c r="C197" s="23"/>
      <c r="D197" s="3">
        <f>SQRT($J$45^2+$K$45^2)</f>
        <v>7.1407562624696839</v>
      </c>
      <c r="E197" s="10">
        <f>$G$45+1*$J$57</f>
        <v>93.034000000000006</v>
      </c>
      <c r="F197" s="5">
        <f>IF($E$197&lt;=0,0,IF(ABS($H$81)/$E$197&lt;=$E$18/6+0.000001,$E$18,MIN(3*($E$18/2-ABS($H$81)/$E$197),$E$18)))</f>
        <v>1.3</v>
      </c>
      <c r="G197" s="5">
        <f>IF($E$197&lt;=0,0,IF(ABS($I$81)/$E$197&lt;=$F$18/6+0.000001,$F$18,MIN(3*($F$18/2-ABS($I$81)/$E$197),$F$18)))</f>
        <v>1.3</v>
      </c>
      <c r="H197" s="3">
        <f>MAX($E$197,0)*TAN(RADIANS($J$7))+$K$7*$F$197*$G$197</f>
        <v>49.46705526519402</v>
      </c>
      <c r="I197" s="3">
        <f>$H$197/$D$197</f>
        <v>6.9274252539863994</v>
      </c>
      <c r="J197" s="3">
        <v>1.25</v>
      </c>
      <c r="K197" s="9" t="str">
        <f>IF($I$197&gt;=$J$197-0.00001,"OK","NON OK")</f>
        <v>OK</v>
      </c>
    </row>
    <row r="198" spans="2:11" ht="15.75" x14ac:dyDescent="0.25">
      <c r="B198" s="22" t="s">
        <v>94</v>
      </c>
      <c r="C198" s="23"/>
      <c r="D198" s="3">
        <f>SQRT($J$46^2+$K$46^2)</f>
        <v>7.1407562624696839</v>
      </c>
      <c r="E198" s="10">
        <f>$G$46+1*$J$57</f>
        <v>93.034000000000006</v>
      </c>
      <c r="F198" s="5">
        <f>IF($E$198&lt;=0,0,IF(ABS($H$82)/$E$198&lt;=$E$18/6+0.000001,$E$18,MIN(3*($E$18/2-ABS($H$82)/$E$198),$E$18)))</f>
        <v>1.3</v>
      </c>
      <c r="G198" s="5">
        <f>IF($E$198&lt;=0,0,IF(ABS($I$82)/$E$198&lt;=$F$18/6+0.000001,$F$18,MIN(3*($F$18/2-ABS($I$82)/$E$198),$F$18)))</f>
        <v>1.3</v>
      </c>
      <c r="H198" s="3">
        <f>MAX($E$198,0)*TAN(RADIANS($J$7))+$K$7*$F$198*$G$198</f>
        <v>49.46705526519402</v>
      </c>
      <c r="I198" s="3">
        <f>$H$198/$D$198</f>
        <v>6.9274252539863994</v>
      </c>
      <c r="J198" s="3">
        <v>1.25</v>
      </c>
      <c r="K198" s="9" t="str">
        <f>IF($I$198&gt;=$J$198-0.00001,"OK","NON OK")</f>
        <v>OK</v>
      </c>
    </row>
    <row r="199" spans="2:11" ht="15.75" x14ac:dyDescent="0.25">
      <c r="B199" s="22" t="s">
        <v>95</v>
      </c>
      <c r="C199" s="23"/>
      <c r="D199" s="3">
        <f>SQRT($J$47^2+$K$47^2)</f>
        <v>21.807338214463499</v>
      </c>
      <c r="E199" s="10">
        <f>$G$47+1*$J$57</f>
        <v>78.994</v>
      </c>
      <c r="F199" s="5">
        <f>IF($E$199&lt;=0,0,IF(ABS($H$83)/$E$199&lt;=$E$18/6+0.000001,$E$18,MIN(3*($E$18/2-ABS($H$83)/$E$199),$E$18)))</f>
        <v>0.5554637061042611</v>
      </c>
      <c r="G199" s="5">
        <f>IF($E$199&lt;=0,0,IF(ABS($I$83)/$E$199&lt;=$F$18/6+0.000001,$F$18,MIN(3*($F$18/2-ABS($I$83)/$E$199),$F$18)))</f>
        <v>1.3</v>
      </c>
      <c r="H199" s="3">
        <f>MAX($E$199,0)*TAN(RADIANS($J$7))+$K$7*$F$199*$G$199</f>
        <v>42.001854844666852</v>
      </c>
      <c r="I199" s="3">
        <f>$H$199/$D$199</f>
        <v>1.9260422538322235</v>
      </c>
      <c r="J199" s="3">
        <v>1.25</v>
      </c>
      <c r="K199" s="9" t="str">
        <f>IF($I$199&gt;=$J$199-0.00001,"OK","NON OK")</f>
        <v>OK</v>
      </c>
    </row>
    <row r="200" spans="2:11" ht="15.75" x14ac:dyDescent="0.25">
      <c r="B200" s="22" t="s">
        <v>96</v>
      </c>
      <c r="C200" s="23"/>
      <c r="D200" s="3">
        <f>SQRT($J$48^2+$K$48^2)</f>
        <v>21.807338214463499</v>
      </c>
      <c r="E200" s="10">
        <f>$G$48+1*$J$57</f>
        <v>78.994</v>
      </c>
      <c r="F200" s="5">
        <f>IF($E$200&lt;=0,0,IF(ABS($H$84)/$E$200&lt;=$E$18/6+0.000001,$E$18,MIN(3*($E$18/2-ABS($H$84)/$E$200),$E$18)))</f>
        <v>0.5554637061042611</v>
      </c>
      <c r="G200" s="5">
        <f>IF($E$200&lt;=0,0,IF(ABS($I$84)/$E$200&lt;=$F$18/6+0.000001,$F$18,MIN(3*($F$18/2-ABS($I$84)/$E$200),$F$18)))</f>
        <v>1.3</v>
      </c>
      <c r="H200" s="3">
        <f>MAX($E$200,0)*TAN(RADIANS($J$7))+$K$7*$F$200*$G$200</f>
        <v>42.001854844666852</v>
      </c>
      <c r="I200" s="3">
        <f>$H$200/$D$200</f>
        <v>1.9260422538322235</v>
      </c>
      <c r="J200" s="3">
        <v>1.25</v>
      </c>
      <c r="K200" s="9" t="str">
        <f>IF($I$200&gt;=$J$200-0.00001,"OK","NON OK")</f>
        <v>OK</v>
      </c>
    </row>
    <row r="201" spans="2:11" ht="15.75" x14ac:dyDescent="0.25">
      <c r="B201" s="22" t="s">
        <v>97</v>
      </c>
      <c r="C201" s="23"/>
      <c r="D201" s="3">
        <f>SQRT($J$49^2+$K$49^2)</f>
        <v>7.1407562624696839</v>
      </c>
      <c r="E201" s="10">
        <f>$G$49+1*$J$57</f>
        <v>86.554000000000002</v>
      </c>
      <c r="F201" s="5">
        <f>IF($E$201&lt;=0,0,IF(ABS($H$85)/$E$201&lt;=$E$18/6+0.000001,$E$18,MIN(3*($E$18/2-ABS($H$85)/$E$201),$E$18)))</f>
        <v>1.3</v>
      </c>
      <c r="G201" s="5">
        <f>IF($E$201&lt;=0,0,IF(ABS($I$85)/$E$201&lt;=$F$18/6+0.000001,$F$18,MIN(3*($F$18/2-ABS($I$85)/$E$201),$F$18)))</f>
        <v>1.3</v>
      </c>
      <c r="H201" s="3">
        <f>MAX($E$201,0)*TAN(RADIANS($J$7))+$K$7*$F$201*$G$201</f>
        <v>46.021578148027636</v>
      </c>
      <c r="I201" s="3">
        <f>$H$201/$D$201</f>
        <v>6.4449165405501088</v>
      </c>
      <c r="J201" s="3">
        <v>1.25</v>
      </c>
      <c r="K201" s="9" t="str">
        <f>IF($I$201&gt;=$J$201-0.00001,"OK","NON OK")</f>
        <v>OK</v>
      </c>
    </row>
    <row r="202" spans="2:11" ht="15.75" x14ac:dyDescent="0.25">
      <c r="B202" s="22" t="s">
        <v>98</v>
      </c>
      <c r="C202" s="23"/>
      <c r="D202" s="3">
        <f>SQRT($J$50^2+$K$50^2)</f>
        <v>7.1407562624696839</v>
      </c>
      <c r="E202" s="10">
        <f>$G$50+1*$J$57</f>
        <v>86.554000000000002</v>
      </c>
      <c r="F202" s="5">
        <f>IF($E$202&lt;=0,0,IF(ABS($H$86)/$E$202&lt;=$E$18/6+0.000001,$E$18,MIN(3*($E$18/2-ABS($H$86)/$E$202),$E$18)))</f>
        <v>1.3</v>
      </c>
      <c r="G202" s="5">
        <f>IF($E$202&lt;=0,0,IF(ABS($I$86)/$E$202&lt;=$F$18/6+0.000001,$F$18,MIN(3*($F$18/2-ABS($I$86)/$E$202),$F$18)))</f>
        <v>1.3</v>
      </c>
      <c r="H202" s="3">
        <f>MAX($E$202,0)*TAN(RADIANS($J$7))+$K$7*$F$202*$G$202</f>
        <v>46.021578148027636</v>
      </c>
      <c r="I202" s="3">
        <f>$H$202/$D$202</f>
        <v>6.4449165405501088</v>
      </c>
      <c r="J202" s="3">
        <v>1.25</v>
      </c>
      <c r="K202" s="9" t="str">
        <f>IF($I$202&gt;=$J$202-0.00001,"OK","NON OK")</f>
        <v>OK</v>
      </c>
    </row>
    <row r="204" spans="2:11" ht="20.100000000000001" customHeight="1" x14ac:dyDescent="0.25">
      <c r="B204" s="19" t="s">
        <v>159</v>
      </c>
      <c r="C204" s="18"/>
      <c r="D204" s="18"/>
      <c r="E204" s="18"/>
      <c r="F204" s="18"/>
      <c r="G204" s="18"/>
      <c r="H204" s="18"/>
      <c r="I204" s="18"/>
      <c r="J204" s="18"/>
      <c r="K204" s="18"/>
    </row>
    <row r="205" spans="2:11" ht="15" customHeight="1" x14ac:dyDescent="0.25">
      <c r="B205" s="24" t="s">
        <v>160</v>
      </c>
      <c r="C205" s="25"/>
      <c r="D205" s="25"/>
      <c r="E205" s="25"/>
      <c r="F205" s="25"/>
      <c r="G205" s="25"/>
      <c r="H205" s="25"/>
      <c r="I205" s="25"/>
      <c r="J205" s="25"/>
      <c r="K205" s="25"/>
    </row>
    <row r="206" spans="2:11" ht="20.100000000000001" customHeight="1" x14ac:dyDescent="0.25">
      <c r="B206" s="17" t="s">
        <v>63</v>
      </c>
      <c r="C206" s="18"/>
      <c r="D206" s="18"/>
      <c r="E206" s="17" t="s">
        <v>161</v>
      </c>
      <c r="F206" s="18"/>
      <c r="G206" s="17" t="s">
        <v>162</v>
      </c>
      <c r="H206" s="18"/>
      <c r="I206" s="1" t="s">
        <v>155</v>
      </c>
      <c r="J206" s="1" t="s">
        <v>145</v>
      </c>
      <c r="K206" s="1" t="s">
        <v>49</v>
      </c>
    </row>
    <row r="207" spans="2:11" ht="18" customHeight="1" x14ac:dyDescent="0.25">
      <c r="B207" s="33"/>
      <c r="C207" s="34"/>
      <c r="D207" s="34"/>
      <c r="E207" s="33" t="s">
        <v>163</v>
      </c>
      <c r="F207" s="34"/>
      <c r="G207" s="33" t="s">
        <v>164</v>
      </c>
      <c r="H207" s="34"/>
      <c r="I207" s="2" t="s">
        <v>165</v>
      </c>
      <c r="J207" s="2"/>
      <c r="K207" s="2"/>
    </row>
    <row r="208" spans="2:11" ht="15.75" x14ac:dyDescent="0.25">
      <c r="B208" s="22" t="s">
        <v>77</v>
      </c>
      <c r="C208" s="23"/>
      <c r="D208" s="23"/>
      <c r="E208" s="20">
        <f>-$G$31</f>
        <v>10</v>
      </c>
      <c r="F208" s="21"/>
      <c r="G208" s="15">
        <f>1*$J$57</f>
        <v>52.394000000000005</v>
      </c>
      <c r="H208" s="16"/>
      <c r="I208" s="3">
        <f>$G$208/$E$208</f>
        <v>5.2394000000000007</v>
      </c>
      <c r="J208" s="3">
        <v>1</v>
      </c>
      <c r="K208" s="9" t="str">
        <f>IF($I$208&gt;=$J$208-0.00001,"OK","NON OK")</f>
        <v>OK</v>
      </c>
    </row>
    <row r="210" spans="2:11" ht="20.100000000000001" customHeight="1" x14ac:dyDescent="0.25">
      <c r="B210" s="19" t="s">
        <v>166</v>
      </c>
      <c r="C210" s="18"/>
      <c r="D210" s="18"/>
      <c r="E210" s="18"/>
      <c r="F210" s="18"/>
      <c r="G210" s="18"/>
      <c r="H210" s="18"/>
      <c r="I210" s="18"/>
      <c r="J210" s="18"/>
      <c r="K210" s="18"/>
    </row>
    <row r="211" spans="2:11" ht="20.100000000000001" customHeight="1" x14ac:dyDescent="0.25">
      <c r="B211" s="17" t="s">
        <v>63</v>
      </c>
      <c r="C211" s="18"/>
      <c r="D211" s="18"/>
      <c r="E211" s="1" t="s">
        <v>167</v>
      </c>
      <c r="F211" s="1" t="s">
        <v>168</v>
      </c>
      <c r="G211" s="1" t="s">
        <v>169</v>
      </c>
      <c r="H211" s="1" t="s">
        <v>170</v>
      </c>
      <c r="I211" s="1" t="s">
        <v>171</v>
      </c>
      <c r="J211" s="1" t="s">
        <v>131</v>
      </c>
      <c r="K211" s="1" t="s">
        <v>49</v>
      </c>
    </row>
    <row r="212" spans="2:11" ht="30" customHeight="1" x14ac:dyDescent="0.25">
      <c r="B212" s="33"/>
      <c r="C212" s="34"/>
      <c r="D212" s="34"/>
      <c r="E212" s="2" t="s">
        <v>172</v>
      </c>
      <c r="F212" s="2" t="s">
        <v>173</v>
      </c>
      <c r="G212" s="2" t="s">
        <v>174</v>
      </c>
      <c r="H212" s="2"/>
      <c r="I212" s="2" t="s">
        <v>175</v>
      </c>
      <c r="J212" s="2" t="s">
        <v>176</v>
      </c>
      <c r="K212" s="2"/>
    </row>
    <row r="213" spans="2:11" ht="15.75" x14ac:dyDescent="0.25">
      <c r="B213" s="22" t="s">
        <v>71</v>
      </c>
      <c r="C213" s="23"/>
      <c r="D213" s="23"/>
      <c r="E213" s="10">
        <f>$G$27+1.35*$J$55</f>
        <v>66.27</v>
      </c>
      <c r="F213" s="3">
        <f>IF(AND($B$13+2*$G$18&gt;=$E$18,$C$13+2*$G$18&gt;=$F$18),0,$E$213*(1-MIN($B$13+2*$G$18,$E$18)*MIN($C$13+2*$G$18,$F$18)/($E$18*$F$18)))</f>
        <v>9.8032544378698123</v>
      </c>
      <c r="G213" s="5">
        <f t="shared" ref="G213:G229" si="6">2*($B$13+$C$13+2*$G$18)</f>
        <v>3.2</v>
      </c>
      <c r="H213" s="3">
        <f t="shared" ref="H213:H221" si="7">$I$13</f>
        <v>1.5</v>
      </c>
      <c r="I213" s="3">
        <f>0.045*$G$213*$G$18*$C$7/$H$213*1000</f>
        <v>960</v>
      </c>
      <c r="J213" s="12">
        <f>$F$213/$I$213</f>
        <v>1.0211723372781055E-2</v>
      </c>
      <c r="K213" s="9" t="str">
        <f>IF($F$213&lt;=$I$213+0.00001,"OK","NON OK")</f>
        <v>OK</v>
      </c>
    </row>
    <row r="214" spans="2:11" ht="15.75" x14ac:dyDescent="0.25">
      <c r="B214" s="22" t="s">
        <v>74</v>
      </c>
      <c r="C214" s="23"/>
      <c r="D214" s="23"/>
      <c r="E214" s="10">
        <f>$G$28+1.35*$J$55</f>
        <v>54.27</v>
      </c>
      <c r="F214" s="3">
        <f>IF(AND($B$13+2*$G$18&gt;=$E$18,$C$13+2*$G$18&gt;=$F$18),0,$E$214*(1-MIN($B$13+2*$G$18,$E$18)*MIN($C$13+2*$G$18,$F$18)/($E$18*$F$18)))</f>
        <v>8.0281065088757337</v>
      </c>
      <c r="G214" s="5">
        <f t="shared" si="6"/>
        <v>3.2</v>
      </c>
      <c r="H214" s="3">
        <f t="shared" si="7"/>
        <v>1.5</v>
      </c>
      <c r="I214" s="3">
        <f>0.045*$G$214*$G$18*$C$7/$H$214*1000</f>
        <v>960</v>
      </c>
      <c r="J214" s="12">
        <f>$F$214/$I$214</f>
        <v>8.3626109467455564E-3</v>
      </c>
      <c r="K214" s="9" t="str">
        <f>IF($F$214&lt;=$I$214+0.00001,"OK","NON OK")</f>
        <v>OK</v>
      </c>
    </row>
    <row r="215" spans="2:11" ht="15.75" x14ac:dyDescent="0.25">
      <c r="B215" s="22" t="s">
        <v>75</v>
      </c>
      <c r="C215" s="23"/>
      <c r="D215" s="23"/>
      <c r="E215" s="10">
        <f>$G$29+1.35*$J$55</f>
        <v>9.27</v>
      </c>
      <c r="F215" s="3">
        <f>IF(AND($B$13+2*$G$18&gt;=$E$18,$C$13+2*$G$18&gt;=$F$18),0,$E$215*(1-MIN($B$13+2*$G$18,$E$18)*MIN($C$13+2*$G$18,$F$18)/($E$18*$F$18)))</f>
        <v>1.3713017751479277</v>
      </c>
      <c r="G215" s="5">
        <f t="shared" si="6"/>
        <v>3.2</v>
      </c>
      <c r="H215" s="3">
        <f t="shared" si="7"/>
        <v>1.5</v>
      </c>
      <c r="I215" s="3">
        <f>0.045*$G$215*$G$18*$C$7/$H$215*1000</f>
        <v>960</v>
      </c>
      <c r="J215" s="12">
        <f>$F$215/$I$215</f>
        <v>1.4284393491124246E-3</v>
      </c>
      <c r="K215" s="9" t="str">
        <f>IF($F$215&lt;=$I$215+0.00001,"OK","NON OK")</f>
        <v>OK</v>
      </c>
    </row>
    <row r="216" spans="2:11" ht="15.75" x14ac:dyDescent="0.25">
      <c r="B216" s="22" t="s">
        <v>76</v>
      </c>
      <c r="C216" s="23"/>
      <c r="D216" s="23"/>
      <c r="E216" s="10">
        <f>$G$30+1.35*$J$55</f>
        <v>54.27</v>
      </c>
      <c r="F216" s="3">
        <f>IF(AND($B$13+2*$G$18&gt;=$E$18,$C$13+2*$G$18&gt;=$F$18),0,$E$216*(1-MIN($B$13+2*$G$18,$E$18)*MIN($C$13+2*$G$18,$F$18)/($E$18*$F$18)))</f>
        <v>8.0281065088757337</v>
      </c>
      <c r="G216" s="5">
        <f t="shared" si="6"/>
        <v>3.2</v>
      </c>
      <c r="H216" s="3">
        <f t="shared" si="7"/>
        <v>1.5</v>
      </c>
      <c r="I216" s="3">
        <f>0.045*$G$216*$G$18*$C$7/$H$216*1000</f>
        <v>960</v>
      </c>
      <c r="J216" s="12">
        <f>$F$216/$I$216</f>
        <v>8.3626109467455564E-3</v>
      </c>
      <c r="K216" s="9" t="str">
        <f>IF($F$216&lt;=$I$216+0.00001,"OK","NON OK")</f>
        <v>OK</v>
      </c>
    </row>
    <row r="217" spans="2:11" ht="15.75" x14ac:dyDescent="0.25">
      <c r="B217" s="22" t="s">
        <v>78</v>
      </c>
      <c r="C217" s="23"/>
      <c r="D217" s="23"/>
      <c r="E217" s="10">
        <f>$G$32+1*$J$55</f>
        <v>40.200000000000003</v>
      </c>
      <c r="F217" s="3">
        <f>IF(AND($B$13+2*$G$18&gt;=$E$18,$C$13+2*$G$18&gt;=$F$18),0,$E$217*(1-MIN($B$13+2*$G$18,$E$18)*MIN($C$13+2*$G$18,$F$18)/($E$18*$F$18)))</f>
        <v>5.9467455621301726</v>
      </c>
      <c r="G217" s="5">
        <f t="shared" si="6"/>
        <v>3.2</v>
      </c>
      <c r="H217" s="3">
        <f t="shared" si="7"/>
        <v>1.5</v>
      </c>
      <c r="I217" s="3">
        <f>0.045*$G$217*$G$18*$C$7/$H$217*1000</f>
        <v>960</v>
      </c>
      <c r="J217" s="12">
        <f>$F$217/$I$217</f>
        <v>6.1945266272189301E-3</v>
      </c>
      <c r="K217" s="9" t="str">
        <f>IF($F$217&lt;=$I$217+0.00001,"OK","NON OK")</f>
        <v>OK</v>
      </c>
    </row>
    <row r="218" spans="2:11" ht="15.75" x14ac:dyDescent="0.25">
      <c r="B218" s="22" t="s">
        <v>79</v>
      </c>
      <c r="C218" s="23"/>
      <c r="D218" s="23"/>
      <c r="E218" s="10">
        <f>$G$33+1.35*$J$55</f>
        <v>24.57</v>
      </c>
      <c r="F218" s="3">
        <f>IF(AND($B$13+2*$G$18&gt;=$E$18,$C$13+2*$G$18&gt;=$F$18),0,$E$218*(1-MIN($B$13+2*$G$18,$E$18)*MIN($C$13+2*$G$18,$F$18)/($E$18*$F$18)))</f>
        <v>3.6346153846153815</v>
      </c>
      <c r="G218" s="5">
        <f t="shared" si="6"/>
        <v>3.2</v>
      </c>
      <c r="H218" s="3">
        <f t="shared" si="7"/>
        <v>1.5</v>
      </c>
      <c r="I218" s="3">
        <f>0.045*$G$218*$G$18*$C$7/$H$218*1000</f>
        <v>960</v>
      </c>
      <c r="J218" s="12">
        <f>$F$218/$I$218</f>
        <v>3.7860576923076888E-3</v>
      </c>
      <c r="K218" s="9" t="str">
        <f>IF($F$218&lt;=$I$218+0.00001,"OK","NON OK")</f>
        <v>OK</v>
      </c>
    </row>
    <row r="219" spans="2:11" ht="15.75" x14ac:dyDescent="0.25">
      <c r="B219" s="22" t="s">
        <v>80</v>
      </c>
      <c r="C219" s="23"/>
      <c r="D219" s="23"/>
      <c r="E219" s="10">
        <f>$G$34+1.35*$J$55</f>
        <v>65.069999999999993</v>
      </c>
      <c r="F219" s="3">
        <f>IF(AND($B$13+2*$G$18&gt;=$E$18,$C$13+2*$G$18&gt;=$F$18),0,$E$219*(1-MIN($B$13+2*$G$18,$E$18)*MIN($C$13+2*$G$18,$F$18)/($E$18*$F$18)))</f>
        <v>9.6257396449704054</v>
      </c>
      <c r="G219" s="5">
        <f t="shared" si="6"/>
        <v>3.2</v>
      </c>
      <c r="H219" s="3">
        <f t="shared" si="7"/>
        <v>1.5</v>
      </c>
      <c r="I219" s="3">
        <f>0.045*$G$219*$G$18*$C$7/$H$219*1000</f>
        <v>960</v>
      </c>
      <c r="J219" s="12">
        <f>$F$219/$I$219</f>
        <v>1.0026812130177505E-2</v>
      </c>
      <c r="K219" s="9" t="str">
        <f>IF($F$219&lt;=$I$219+0.00001,"OK","NON OK")</f>
        <v>OK</v>
      </c>
    </row>
    <row r="220" spans="2:11" ht="15.75" x14ac:dyDescent="0.25">
      <c r="B220" s="22" t="s">
        <v>81</v>
      </c>
      <c r="C220" s="23"/>
      <c r="D220" s="23"/>
      <c r="E220" s="10">
        <f>$G$35+1.35*$J$55</f>
        <v>13.77</v>
      </c>
      <c r="F220" s="3">
        <f>IF(AND($B$13+2*$G$18&gt;=$E$18,$C$13+2*$G$18&gt;=$F$18),0,$E$220*(1-MIN($B$13+2*$G$18,$E$18)*MIN($C$13+2*$G$18,$F$18)/($E$18*$F$18)))</f>
        <v>2.0369822485207081</v>
      </c>
      <c r="G220" s="5">
        <f t="shared" si="6"/>
        <v>3.2</v>
      </c>
      <c r="H220" s="3">
        <f t="shared" si="7"/>
        <v>1.5</v>
      </c>
      <c r="I220" s="3">
        <f>0.045*$G$220*$G$18*$C$7/$H$220*1000</f>
        <v>960</v>
      </c>
      <c r="J220" s="12">
        <f>$F$220/$I$220</f>
        <v>2.1218565088757376E-3</v>
      </c>
      <c r="K220" s="9" t="str">
        <f>IF($F$220&lt;=$I$220+0.00001,"OK","NON OK")</f>
        <v>OK</v>
      </c>
    </row>
    <row r="221" spans="2:11" ht="15.75" x14ac:dyDescent="0.25">
      <c r="B221" s="22" t="s">
        <v>82</v>
      </c>
      <c r="C221" s="23"/>
      <c r="D221" s="23"/>
      <c r="E221" s="10">
        <f>$G$36+1.35*$J$55</f>
        <v>54.27</v>
      </c>
      <c r="F221" s="3">
        <f>IF(AND($B$13+2*$G$18&gt;=$E$18,$C$13+2*$G$18&gt;=$F$18),0,$E$221*(1-MIN($B$13+2*$G$18,$E$18)*MIN($C$13+2*$G$18,$F$18)/($E$18*$F$18)))</f>
        <v>8.0281065088757337</v>
      </c>
      <c r="G221" s="5">
        <f t="shared" si="6"/>
        <v>3.2</v>
      </c>
      <c r="H221" s="3">
        <f t="shared" si="7"/>
        <v>1.5</v>
      </c>
      <c r="I221" s="3">
        <f>0.045*$G$221*$G$18*$C$7/$H$221*1000</f>
        <v>960</v>
      </c>
      <c r="J221" s="12">
        <f>$F$221/$I$221</f>
        <v>8.3626109467455564E-3</v>
      </c>
      <c r="K221" s="9" t="str">
        <f>IF($F$221&lt;=$I$221+0.00001,"OK","NON OK")</f>
        <v>OK</v>
      </c>
    </row>
    <row r="222" spans="2:11" ht="15.75" x14ac:dyDescent="0.25">
      <c r="B222" s="22" t="s">
        <v>90</v>
      </c>
      <c r="C222" s="23"/>
      <c r="D222" s="23"/>
      <c r="E222" s="10">
        <f>$G$43+1*$J$55</f>
        <v>53.400000000000006</v>
      </c>
      <c r="F222" s="3">
        <f>IF(AND($B$13+2*$G$18&gt;=$E$18,$C$13+2*$G$18&gt;=$F$18),0,$E$222*(1-MIN($B$13+2*$G$18,$E$18)*MIN($C$13+2*$G$18,$F$18)/($E$18*$F$18)))</f>
        <v>7.8994082840236626</v>
      </c>
      <c r="G222" s="5">
        <f t="shared" si="6"/>
        <v>3.2</v>
      </c>
      <c r="H222" s="3">
        <f t="shared" ref="H222:H229" si="8">$J$13</f>
        <v>1.2</v>
      </c>
      <c r="I222" s="3">
        <f>0.045*$G$222*$G$18*$C$7/$H$222*1000</f>
        <v>1200</v>
      </c>
      <c r="J222" s="12">
        <f>$F$222/$I$222</f>
        <v>6.5828402366863853E-3</v>
      </c>
      <c r="K222" s="9" t="str">
        <f>IF($F$222&lt;=$I$222+0.00001,"OK","NON OK")</f>
        <v>OK</v>
      </c>
    </row>
    <row r="223" spans="2:11" ht="15.75" x14ac:dyDescent="0.25">
      <c r="B223" s="22" t="s">
        <v>92</v>
      </c>
      <c r="C223" s="23"/>
      <c r="D223" s="23"/>
      <c r="E223" s="10">
        <f>$G$44+1*$J$55</f>
        <v>53.400000000000006</v>
      </c>
      <c r="F223" s="3">
        <f>IF(AND($B$13+2*$G$18&gt;=$E$18,$C$13+2*$G$18&gt;=$F$18),0,$E$223*(1-MIN($B$13+2*$G$18,$E$18)*MIN($C$13+2*$G$18,$F$18)/($E$18*$F$18)))</f>
        <v>7.8994082840236626</v>
      </c>
      <c r="G223" s="5">
        <f t="shared" si="6"/>
        <v>3.2</v>
      </c>
      <c r="H223" s="3">
        <f t="shared" si="8"/>
        <v>1.2</v>
      </c>
      <c r="I223" s="3">
        <f>0.045*$G$223*$G$18*$C$7/$H$223*1000</f>
        <v>1200</v>
      </c>
      <c r="J223" s="12">
        <f>$F$223/$I$223</f>
        <v>6.5828402366863853E-3</v>
      </c>
      <c r="K223" s="9" t="str">
        <f>IF($F$223&lt;=$I$223+0.00001,"OK","NON OK")</f>
        <v>OK</v>
      </c>
    </row>
    <row r="224" spans="2:11" ht="15.75" x14ac:dyDescent="0.25">
      <c r="B224" s="22" t="s">
        <v>93</v>
      </c>
      <c r="C224" s="23"/>
      <c r="D224" s="23"/>
      <c r="E224" s="10">
        <f>$G$45+1*$J$55</f>
        <v>45.84</v>
      </c>
      <c r="F224" s="3">
        <f>IF(AND($B$13+2*$G$18&gt;=$E$18,$C$13+2*$G$18&gt;=$F$18),0,$E$224*(1-MIN($B$13+2*$G$18,$E$18)*MIN($C$13+2*$G$18,$F$18)/($E$18*$F$18)))</f>
        <v>6.7810650887573907</v>
      </c>
      <c r="G224" s="5">
        <f t="shared" si="6"/>
        <v>3.2</v>
      </c>
      <c r="H224" s="3">
        <f t="shared" si="8"/>
        <v>1.2</v>
      </c>
      <c r="I224" s="3">
        <f>0.045*$G$224*$G$18*$C$7/$H$224*1000</f>
        <v>1200</v>
      </c>
      <c r="J224" s="12">
        <f>$F$224/$I$224</f>
        <v>5.6508875739644925E-3</v>
      </c>
      <c r="K224" s="9" t="str">
        <f>IF($F$224&lt;=$I$224+0.00001,"OK","NON OK")</f>
        <v>OK</v>
      </c>
    </row>
    <row r="225" spans="2:11" ht="15.75" x14ac:dyDescent="0.25">
      <c r="B225" s="22" t="s">
        <v>94</v>
      </c>
      <c r="C225" s="23"/>
      <c r="D225" s="23"/>
      <c r="E225" s="10">
        <f>$G$46+1*$J$55</f>
        <v>45.84</v>
      </c>
      <c r="F225" s="3">
        <f>IF(AND($B$13+2*$G$18&gt;=$E$18,$C$13+2*$G$18&gt;=$F$18),0,$E$225*(1-MIN($B$13+2*$G$18,$E$18)*MIN($C$13+2*$G$18,$F$18)/($E$18*$F$18)))</f>
        <v>6.7810650887573907</v>
      </c>
      <c r="G225" s="5">
        <f t="shared" si="6"/>
        <v>3.2</v>
      </c>
      <c r="H225" s="3">
        <f t="shared" si="8"/>
        <v>1.2</v>
      </c>
      <c r="I225" s="3">
        <f>0.045*$G$225*$G$18*$C$7/$H$225*1000</f>
        <v>1200</v>
      </c>
      <c r="J225" s="12">
        <f>$F$225/$I$225</f>
        <v>5.6508875739644925E-3</v>
      </c>
      <c r="K225" s="9" t="str">
        <f>IF($F$225&lt;=$I$225+0.00001,"OK","NON OK")</f>
        <v>OK</v>
      </c>
    </row>
    <row r="226" spans="2:11" ht="15.75" x14ac:dyDescent="0.25">
      <c r="B226" s="22" t="s">
        <v>95</v>
      </c>
      <c r="C226" s="23"/>
      <c r="D226" s="23"/>
      <c r="E226" s="10">
        <f>$G$47+1*$J$55</f>
        <v>31.8</v>
      </c>
      <c r="F226" s="3">
        <f>IF(AND($B$13+2*$G$18&gt;=$E$18,$C$13+2*$G$18&gt;=$F$18),0,$E$226*(1-MIN($B$13+2*$G$18,$E$18)*MIN($C$13+2*$G$18,$F$18)/($E$18*$F$18)))</f>
        <v>4.7041420118343158</v>
      </c>
      <c r="G226" s="5">
        <f t="shared" si="6"/>
        <v>3.2</v>
      </c>
      <c r="H226" s="3">
        <f t="shared" si="8"/>
        <v>1.2</v>
      </c>
      <c r="I226" s="3">
        <f>0.045*$G$226*$G$18*$C$7/$H$226*1000</f>
        <v>1200</v>
      </c>
      <c r="J226" s="12">
        <f>$F$226/$I$226</f>
        <v>3.9201183431952632E-3</v>
      </c>
      <c r="K226" s="9" t="str">
        <f>IF($F$226&lt;=$I$226+0.00001,"OK","NON OK")</f>
        <v>OK</v>
      </c>
    </row>
    <row r="227" spans="2:11" ht="15.75" x14ac:dyDescent="0.25">
      <c r="B227" s="22" t="s">
        <v>96</v>
      </c>
      <c r="C227" s="23"/>
      <c r="D227" s="23"/>
      <c r="E227" s="10">
        <f>$G$48+1*$J$55</f>
        <v>31.8</v>
      </c>
      <c r="F227" s="3">
        <f>IF(AND($B$13+2*$G$18&gt;=$E$18,$C$13+2*$G$18&gt;=$F$18),0,$E$227*(1-MIN($B$13+2*$G$18,$E$18)*MIN($C$13+2*$G$18,$F$18)/($E$18*$F$18)))</f>
        <v>4.7041420118343158</v>
      </c>
      <c r="G227" s="5">
        <f t="shared" si="6"/>
        <v>3.2</v>
      </c>
      <c r="H227" s="3">
        <f t="shared" si="8"/>
        <v>1.2</v>
      </c>
      <c r="I227" s="3">
        <f>0.045*$G$227*$G$18*$C$7/$H$227*1000</f>
        <v>1200</v>
      </c>
      <c r="J227" s="12">
        <f>$F$227/$I$227</f>
        <v>3.9201183431952632E-3</v>
      </c>
      <c r="K227" s="9" t="str">
        <f>IF($F$227&lt;=$I$227+0.00001,"OK","NON OK")</f>
        <v>OK</v>
      </c>
    </row>
    <row r="228" spans="2:11" ht="15.75" x14ac:dyDescent="0.25">
      <c r="B228" s="22" t="s">
        <v>97</v>
      </c>
      <c r="C228" s="23"/>
      <c r="D228" s="23"/>
      <c r="E228" s="10">
        <f>$G$49+1*$J$55</f>
        <v>39.36</v>
      </c>
      <c r="F228" s="3">
        <f>IF(AND($B$13+2*$G$18&gt;=$E$18,$C$13+2*$G$18&gt;=$F$18),0,$E$228*(1-MIN($B$13+2*$G$18,$E$18)*MIN($C$13+2*$G$18,$F$18)/($E$18*$F$18)))</f>
        <v>5.8224852071005868</v>
      </c>
      <c r="G228" s="5">
        <f t="shared" si="6"/>
        <v>3.2</v>
      </c>
      <c r="H228" s="3">
        <f t="shared" si="8"/>
        <v>1.2</v>
      </c>
      <c r="I228" s="3">
        <f>0.045*$G$228*$G$18*$C$7/$H$228*1000</f>
        <v>1200</v>
      </c>
      <c r="J228" s="12">
        <f>$F$228/$I$228</f>
        <v>4.852071005917156E-3</v>
      </c>
      <c r="K228" s="9" t="str">
        <f>IF($F$228&lt;=$I$228+0.00001,"OK","NON OK")</f>
        <v>OK</v>
      </c>
    </row>
    <row r="229" spans="2:11" ht="15.75" x14ac:dyDescent="0.25">
      <c r="B229" s="22" t="s">
        <v>98</v>
      </c>
      <c r="C229" s="23"/>
      <c r="D229" s="23"/>
      <c r="E229" s="10">
        <f>$G$50+1*$J$55</f>
        <v>39.36</v>
      </c>
      <c r="F229" s="3">
        <f>IF(AND($B$13+2*$G$18&gt;=$E$18,$C$13+2*$G$18&gt;=$F$18),0,$E$229*(1-MIN($B$13+2*$G$18,$E$18)*MIN($C$13+2*$G$18,$F$18)/($E$18*$F$18)))</f>
        <v>5.8224852071005868</v>
      </c>
      <c r="G229" s="5">
        <f t="shared" si="6"/>
        <v>3.2</v>
      </c>
      <c r="H229" s="3">
        <f t="shared" si="8"/>
        <v>1.2</v>
      </c>
      <c r="I229" s="3">
        <f>0.045*$G$229*$G$18*$C$7/$H$229*1000</f>
        <v>1200</v>
      </c>
      <c r="J229" s="12">
        <f>$F$229/$I$229</f>
        <v>4.852071005917156E-3</v>
      </c>
      <c r="K229" s="9" t="str">
        <f>IF($F$229&lt;=$I$229+0.00001,"OK","NON OK")</f>
        <v>OK</v>
      </c>
    </row>
    <row r="231" spans="2:11" ht="20.100000000000001" customHeight="1" x14ac:dyDescent="0.25">
      <c r="B231" s="19" t="s">
        <v>177</v>
      </c>
      <c r="C231" s="18"/>
      <c r="D231" s="18"/>
      <c r="E231" s="18"/>
      <c r="F231" s="18"/>
      <c r="G231" s="18"/>
      <c r="H231" s="18"/>
      <c r="I231" s="18"/>
      <c r="J231" s="18"/>
      <c r="K231" s="18"/>
    </row>
    <row r="232" spans="2:11" ht="45" customHeight="1" x14ac:dyDescent="0.25">
      <c r="B232" s="24" t="s">
        <v>178</v>
      </c>
      <c r="C232" s="25"/>
      <c r="D232" s="25"/>
      <c r="E232" s="25"/>
      <c r="F232" s="25"/>
      <c r="G232" s="25"/>
      <c r="H232" s="25"/>
      <c r="I232" s="25"/>
      <c r="J232" s="25"/>
      <c r="K232" s="25"/>
    </row>
    <row r="233" spans="2:11" ht="30" customHeight="1" x14ac:dyDescent="0.25">
      <c r="B233" s="1" t="s">
        <v>63</v>
      </c>
      <c r="C233" s="1" t="s">
        <v>167</v>
      </c>
      <c r="D233" s="1" t="s">
        <v>179</v>
      </c>
      <c r="E233" s="1" t="s">
        <v>180</v>
      </c>
      <c r="F233" s="1" t="s">
        <v>181</v>
      </c>
      <c r="G233" s="1" t="s">
        <v>182</v>
      </c>
      <c r="H233" s="1" t="s">
        <v>183</v>
      </c>
      <c r="I233" s="1" t="s">
        <v>184</v>
      </c>
      <c r="J233" s="1" t="s">
        <v>185</v>
      </c>
      <c r="K233" s="1" t="s">
        <v>186</v>
      </c>
    </row>
    <row r="234" spans="2:11" ht="30" customHeight="1" x14ac:dyDescent="0.25">
      <c r="B234" s="2"/>
      <c r="C234" s="2" t="s">
        <v>172</v>
      </c>
      <c r="D234" s="2" t="s">
        <v>187</v>
      </c>
      <c r="E234" s="2" t="s">
        <v>188</v>
      </c>
      <c r="F234" s="2" t="s">
        <v>189</v>
      </c>
      <c r="G234" s="2"/>
      <c r="H234" s="2"/>
      <c r="I234" s="2" t="s">
        <v>190</v>
      </c>
      <c r="J234" s="2" t="s">
        <v>191</v>
      </c>
      <c r="K234" s="2" t="s">
        <v>192</v>
      </c>
    </row>
    <row r="235" spans="2:11" x14ac:dyDescent="0.25">
      <c r="B235" s="7" t="s">
        <v>71</v>
      </c>
      <c r="C235" s="3">
        <f>$G$27+1.35*$J$55</f>
        <v>66.27</v>
      </c>
      <c r="D235" s="5">
        <f>IF($C$235&gt;0,ABS($H$63)/$C$235,"—")</f>
        <v>0</v>
      </c>
      <c r="E235" s="3">
        <f>IF($C$235&lt;=0,"—",IF($D$235&lt;=$E$18/6+0.000001,10*$C$235*(1+3*$D$235/$E$18)*($E$18-$B$13)/(8*$H$18*$E$10),"—"))</f>
        <v>0.62490388119533513</v>
      </c>
      <c r="F235" s="5">
        <f>IF($F$63&lt;=0,0,IF(ABS($H$63)/$F$63&lt;=$E$18/6+0.000001,$E$18,3*($E$18/2-ABS($H$63)/$F$63)))</f>
        <v>1.3</v>
      </c>
      <c r="G235" s="13">
        <f>IF($F$63&lt;=0,0,IF(ABS($H$63)/$F$63&lt;=$E$18/6+0.000001,$F$63/($E$18*$F$18)*(1+6*ABS($H$63)/$F$63/$E$18),2*$F$63/($F$18*$F$235)))</f>
        <v>76.912366863905319</v>
      </c>
      <c r="H235" s="3">
        <f>IF($F$63&lt;=0,0,$F$18*($G$235*(($E$18/2-0.35*$B$13)*MIN(($E$18/2-0.35*$B$13),$F$235)-MIN(($E$18/2-0.35*$B$13),$F$235)^2/2)-IF(ABS($H$63)/$F$63&lt;=$E$18/6+0.000001,12*$F$63*ABS($H$63)/$F$63/($F$18*$E$18^3),$G$235/$F$235)*(($E$18/2-0.35*$B$13)*MIN(($E$18/2-0.35*$B$13),$F$235)^2/2-MIN(($E$18/2-0.35*$B$13),$F$235)^3/3)))-1.35*($E$7*$G$18+$I$7*MAX($G$7-$G$18,0))*$F$18*($E$18/2-0.35*$B$13)^2/2</f>
        <v>6.2017043538461536</v>
      </c>
      <c r="I235" s="14">
        <f>MAX($H$235,0)/($F$18*$H$18^2*$H$10*1000)</f>
        <v>2.8622778588058618E-3</v>
      </c>
      <c r="J235" s="3">
        <f>IF($H$235&lt;=0,0,IF($I$235&gt;=0.5,"μ ≥ 0,5",10*$H$235/($H$18*(1-0.4*1.25*(1-SQRT(1-2*$I$235)))*$E$10)))</f>
        <v>0.52056823267124841</v>
      </c>
      <c r="K235" s="10">
        <f>MAX(N($E$235),N($J$235))</f>
        <v>0.62490388119533513</v>
      </c>
    </row>
    <row r="236" spans="2:11" x14ac:dyDescent="0.25">
      <c r="B236" s="7" t="s">
        <v>74</v>
      </c>
      <c r="C236" s="3">
        <f>$G$28+1.35*$J$55</f>
        <v>54.27</v>
      </c>
      <c r="D236" s="5">
        <f>IF($C$236&gt;0,ABS($H$64)/$C$236,"—")</f>
        <v>0</v>
      </c>
      <c r="E236" s="3">
        <f>IF($C$236&lt;=0,"—",IF($D$236&lt;=$E$18/6+0.000001,10*$C$236*(1+3*$D$236/$E$18)*($E$18-$B$13)/(8*$H$18*$E$10),"—"))</f>
        <v>0.51174790451895047</v>
      </c>
      <c r="F236" s="5">
        <f>IF($F$64&lt;=0,0,IF(ABS($H$64)/$F$64&lt;=$E$18/6+0.000001,$E$18,3*($E$18/2-ABS($H$64)/$F$64)))</f>
        <v>1.3</v>
      </c>
      <c r="G236" s="13">
        <f>IF($F$64&lt;=0,0,IF(ABS($H$64)/$F$64&lt;=$E$18/6+0.000001,$F$64/($E$18*$F$18)*(1+6*ABS($H$64)/$F$64/$E$18),2*$F$64/($F$18*$F$236)))</f>
        <v>69.811775147928998</v>
      </c>
      <c r="H236" s="3">
        <f>IF($F$64&lt;=0,0,$F$18*($G$236*(($E$18/2-0.35*$B$13)*MIN(($E$18/2-0.35*$B$13),$F$236)-MIN(($E$18/2-0.35*$B$13),$F$236)^2/2)-IF(ABS($H$64)/$F$64&lt;=$E$18/6+0.000001,12*$F$64*ABS($H$64)/$F$64/($F$18*$E$18^3),$G$236/$F$236)*(($E$18/2-0.35*$B$13)*MIN(($E$18/2-0.35*$B$13),$F$236)^2/2-MIN(($E$18/2-0.35*$B$13),$F$236)^3/3)))-1.35*($E$7*$G$18+$I$7*MAX($G$7-$G$18,0))*$F$18*($E$18/2-0.35*$B$13)^2/2</f>
        <v>5.0012428153846162</v>
      </c>
      <c r="I236" s="14">
        <f>MAX($H$236,0)/($F$18*$H$18^2*$H$10*1000)</f>
        <v>2.3082278290337205E-3</v>
      </c>
      <c r="J236" s="3">
        <f>IF($H$236&lt;=0,0,IF($I$236&gt;=0.5,"μ ≥ 0,5",10*$H$236/($H$18*(1-0.4*1.25*(1-SQRT(1-2*$I$236)))*$E$10)))</f>
        <v>0.41968530671424314</v>
      </c>
      <c r="K236" s="10">
        <f>MAX(N($E$236),N($J$236))</f>
        <v>0.51174790451895047</v>
      </c>
    </row>
    <row r="237" spans="2:11" x14ac:dyDescent="0.25">
      <c r="B237" s="7" t="s">
        <v>75</v>
      </c>
      <c r="C237" s="3">
        <f>$G$29+1.35*$J$55</f>
        <v>9.27</v>
      </c>
      <c r="D237" s="5">
        <f>IF($C$237&gt;0,ABS($H$65)/$C$237,"—")</f>
        <v>0</v>
      </c>
      <c r="E237" s="3">
        <f>IF($C$237&lt;=0,"—",IF($D$237&lt;=$E$18/6+0.000001,10*$C$237*(1+3*$D$237/$E$18)*($E$18-$B$13)/(8*$H$18*$E$10),"—"))</f>
        <v>8.7412991982507279E-2</v>
      </c>
      <c r="F237" s="5">
        <f>IF($F$65&lt;=0,0,IF(ABS($H$65)/$F$65&lt;=$E$18/6+0.000001,$E$18,3*($E$18/2-ABS($H$65)/$F$65)))</f>
        <v>1.3</v>
      </c>
      <c r="G237" s="13">
        <f>IF($F$65&lt;=0,0,IF(ABS($H$65)/$F$65&lt;=$E$18/6+0.000001,$F$65/($E$18*$F$18)*(1+6*ABS($H$65)/$F$65/$E$18),2*$F$65/($F$18*$F$237)))</f>
        <v>43.18455621301775</v>
      </c>
      <c r="H237" s="3">
        <f>IF($F$65&lt;=0,0,$F$18*($G$237*(($E$18/2-0.35*$B$13)*MIN(($E$18/2-0.35*$B$13),$F$237)-MIN(($E$18/2-0.35*$B$13),$F$237)^2/2)-IF(ABS($H$65)/$F$65&lt;=$E$18/6+0.000001,12*$F$65*ABS($H$65)/$F$65/($F$18*$E$18^3),$G$237/$F$237)*(($E$18/2-0.35*$B$13)*MIN(($E$18/2-0.35*$B$13),$F$237)^2/2-MIN(($E$18/2-0.35*$B$13),$F$237)^3/3)))-1.35*($E$7*$G$18+$I$7*MAX($G$7-$G$18,0))*$F$18*($E$18/2-0.35*$B$13)^2/2</f>
        <v>0.49951204615384626</v>
      </c>
      <c r="I237" s="14">
        <f>MAX($H$237,0)/($F$18*$H$18^2*$H$10*1000)</f>
        <v>2.3054021738818826E-4</v>
      </c>
      <c r="J237" s="3">
        <f>IF($H$237&lt;=0,0,IF($I$237&gt;=0.5,"μ ≥ 0,5",10*$H$237/($H$18*(1-0.4*1.25*(1-SQRT(1-2*$I$237)))*$E$10)))</f>
        <v>4.1873548394731883E-2</v>
      </c>
      <c r="K237" s="10">
        <f>MAX(N($E$237),N($J$237))</f>
        <v>8.7412991982507279E-2</v>
      </c>
    </row>
    <row r="238" spans="2:11" x14ac:dyDescent="0.25">
      <c r="B238" s="7" t="s">
        <v>76</v>
      </c>
      <c r="C238" s="3">
        <f>$G$30+1.35*$J$55</f>
        <v>54.27</v>
      </c>
      <c r="D238" s="5">
        <f>IF($C$238&gt;0,ABS($H$66)/$C$238,"—")</f>
        <v>0</v>
      </c>
      <c r="E238" s="3">
        <f>IF($C$238&lt;=0,"—",IF($D$238&lt;=$E$18/6+0.000001,10*$C$238*(1+3*$D$238/$E$18)*($E$18-$B$13)/(8*$H$18*$E$10),"—"))</f>
        <v>0.51174790451895047</v>
      </c>
      <c r="F238" s="5">
        <f>IF($F$66&lt;=0,0,IF(ABS($H$66)/$F$66&lt;=$E$18/6+0.000001,$E$18,3*($E$18/2-ABS($H$66)/$F$66)))</f>
        <v>1.3</v>
      </c>
      <c r="G238" s="13">
        <f>IF($F$66&lt;=0,0,IF(ABS($H$66)/$F$66&lt;=$E$18/6+0.000001,$F$66/($E$18*$F$18)*(1+6*ABS($H$66)/$F$66/$E$18),2*$F$66/($F$18*$F$238)))</f>
        <v>69.811775147928998</v>
      </c>
      <c r="H238" s="3">
        <f>IF($F$66&lt;=0,0,$F$18*($G$238*(($E$18/2-0.35*$B$13)*MIN(($E$18/2-0.35*$B$13),$F$238)-MIN(($E$18/2-0.35*$B$13),$F$238)^2/2)-IF(ABS($H$66)/$F$66&lt;=$E$18/6+0.000001,12*$F$66*ABS($H$66)/$F$66/($F$18*$E$18^3),$G$238/$F$238)*(($E$18/2-0.35*$B$13)*MIN(($E$18/2-0.35*$B$13),$F$238)^2/2-MIN(($E$18/2-0.35*$B$13),$F$238)^3/3)))-1.35*($E$7*$G$18+$I$7*MAX($G$7-$G$18,0))*$F$18*($E$18/2-0.35*$B$13)^2/2</f>
        <v>5.0012428153846162</v>
      </c>
      <c r="I238" s="14">
        <f>MAX($H$238,0)/($F$18*$H$18^2*$H$10*1000)</f>
        <v>2.3082278290337205E-3</v>
      </c>
      <c r="J238" s="3">
        <f>IF($H$238&lt;=0,0,IF($I$238&gt;=0.5,"μ ≥ 0,5",10*$H$238/($H$18*(1-0.4*1.25*(1-SQRT(1-2*$I$238)))*$E$10)))</f>
        <v>0.41968530671424314</v>
      </c>
      <c r="K238" s="10">
        <f>MAX(N($E$238),N($J$238))</f>
        <v>0.51174790451895047</v>
      </c>
    </row>
    <row r="239" spans="2:11" x14ac:dyDescent="0.25">
      <c r="B239" s="7" t="s">
        <v>77</v>
      </c>
      <c r="C239" s="3">
        <f>$G$31+1*$J$55</f>
        <v>-4.8</v>
      </c>
      <c r="D239" s="5" t="str">
        <f>IF($C$239&gt;0,ABS($H$67)/$C$239,"—")</f>
        <v>—</v>
      </c>
      <c r="E239" s="3" t="str">
        <f>IF($C$239&lt;=0,"—",IF($D$239&lt;=$E$18/6+0.000001,10*$C$239*(1+3*$D$239/$E$18)*($E$18-$B$13)/(8*$H$18*$E$10),"—"))</f>
        <v>—</v>
      </c>
      <c r="F239" s="5">
        <f>IF($F$67&lt;=0,0,IF(ABS($H$67)/$F$67&lt;=$E$18/6+0.000001,$E$18,3*($E$18/2-ABS($H$67)/$F$67)))</f>
        <v>1.3</v>
      </c>
      <c r="G239" s="13">
        <f>IF($F$67&lt;=0,0,IF(ABS($H$67)/$F$67&lt;=$E$18/6+0.000001,$F$67/($E$18*$F$18)*(1+6*ABS($H$67)/$F$67/$E$18),2*$F$67/($F$18*$F$239)))</f>
        <v>25.085207100591717</v>
      </c>
      <c r="H239" s="3">
        <f>IF($F$67&lt;=0,0,$F$18*($G$239*(($E$18/2-0.35*$B$13)*MIN(($E$18/2-0.35*$B$13),$F$239)-MIN(($E$18/2-0.35*$B$13),$F$239)^2/2)-IF(ABS($H$67)/$F$67&lt;=$E$18/6+0.000001,12*$F$67*ABS($H$67)/$F$67/($F$18*$E$18^3),$G$239/$F$239)*(($E$18/2-0.35*$B$13)*MIN(($E$18/2-0.35*$B$13),$F$239)^2/2-MIN(($E$18/2-0.35*$B$13),$F$239)^3/3)))-1*($E$7*$G$18+$I$7*MAX($G$7-$G$18,0))*$F$18*($E$18/2-0.35*$B$13)^2/2</f>
        <v>-0.7971064615384611</v>
      </c>
      <c r="I239" s="14">
        <f>MAX($H$239,0)/($F$18*$H$18^2*$H$10*1000)</f>
        <v>0</v>
      </c>
      <c r="J239" s="3">
        <f>IF($H$239&lt;=0,0,IF($I$239&gt;=0.5,"μ ≥ 0,5",10*$H$239/($H$18*(1-0.4*1.25*(1-SQRT(1-2*$I$239)))*$E$10)))</f>
        <v>0</v>
      </c>
      <c r="K239" s="10">
        <f>MAX(N($E$239),N($J$239))</f>
        <v>0</v>
      </c>
    </row>
    <row r="240" spans="2:11" x14ac:dyDescent="0.25">
      <c r="B240" s="7" t="s">
        <v>78</v>
      </c>
      <c r="C240" s="3">
        <f>$G$32+1*$J$55</f>
        <v>40.200000000000003</v>
      </c>
      <c r="D240" s="5">
        <f>IF($C$240&gt;0,ABS($H$68)/$C$240,"—")</f>
        <v>0</v>
      </c>
      <c r="E240" s="3">
        <f>IF($C$240&lt;=0,"—",IF($D$240&lt;=$E$18/6+0.000001,10*$C$240*(1+3*$D$240/$E$18)*($E$18-$B$13)/(8*$H$18*$E$10),"—"))</f>
        <v>0.37907252186588919</v>
      </c>
      <c r="F240" s="5">
        <f>IF($F$68&lt;=0,0,IF(ABS($H$68)/$F$68&lt;=$E$18/6+0.000001,$E$18,3*($E$18/2-ABS($H$68)/$F$68)))</f>
        <v>1.3</v>
      </c>
      <c r="G240" s="13">
        <f>IF($F$68&lt;=0,0,IF(ABS($H$68)/$F$68&lt;=$E$18/6+0.000001,$F$68/($E$18*$F$18)*(1+6*ABS($H$68)/$F$68/$E$18),2*$F$68/($F$18*$F$240)))</f>
        <v>51.712426035502958</v>
      </c>
      <c r="H240" s="3">
        <f>IF($F$68&lt;=0,0,$F$18*($G$240*(($E$18/2-0.35*$B$13)*MIN(($E$18/2-0.35*$B$13),$F$240)-MIN(($E$18/2-0.35*$B$13),$F$240)^2/2)-IF(ABS($H$68)/$F$68&lt;=$E$18/6+0.000001,12*$F$68*ABS($H$68)/$F$68/($F$18*$E$18^3),$G$240/$F$240)*(($E$18/2-0.35*$B$13)*MIN(($E$18/2-0.35*$B$13),$F$240)^2/2-MIN(($E$18/2-0.35*$B$13),$F$240)^3/3)))-1*($E$7*$G$18+$I$7*MAX($G$7-$G$18,0))*$F$18*($E$18/2-0.35*$B$13)^2/2</f>
        <v>3.7046243076923071</v>
      </c>
      <c r="I240" s="14">
        <f>MAX($H$240,0)/($F$18*$H$18^2*$H$10*1000)</f>
        <v>1.7097983918768294E-3</v>
      </c>
      <c r="J240" s="3">
        <f>IF($H$240&lt;=0,0,IF($I$240&gt;=0.5,"μ ≥ 0,5",10*$H$240/($H$18*(1-0.4*1.25*(1-SQRT(1-2*$I$240)))*$E$10)))</f>
        <v>0.31078471843366118</v>
      </c>
      <c r="K240" s="10">
        <f>MAX(N($E$240),N($J$240))</f>
        <v>0.37907252186588919</v>
      </c>
    </row>
    <row r="241" spans="2:11" x14ac:dyDescent="0.25">
      <c r="B241" s="7" t="s">
        <v>79</v>
      </c>
      <c r="C241" s="3">
        <f>$G$33+1.35*$J$55</f>
        <v>24.57</v>
      </c>
      <c r="D241" s="5">
        <f>IF($C$241&gt;0,ABS($H$69)/$C$241,"—")</f>
        <v>0</v>
      </c>
      <c r="E241" s="3">
        <f>IF($C$241&lt;=0,"—",IF($D$241&lt;=$E$18/6+0.000001,10*$C$241*(1+3*$D$241/$E$18)*($E$18-$B$13)/(8*$H$18*$E$10),"—"))</f>
        <v>0.23168686224489793</v>
      </c>
      <c r="F241" s="5">
        <f>IF($F$69&lt;=0,0,IF(ABS($H$69)/$F$69&lt;=$E$18/6+0.000001,$E$18,3*($E$18/2-ABS($H$69)/$F$69)))</f>
        <v>1.3</v>
      </c>
      <c r="G241" s="13">
        <f>IF($F$69&lt;=0,0,IF(ABS($H$69)/$F$69&lt;=$E$18/6+0.000001,$F$69/($E$18*$F$18)*(1+6*ABS($H$69)/$F$69/$E$18),2*$F$69/($F$18*$F$241)))</f>
        <v>52.237810650887575</v>
      </c>
      <c r="H241" s="3">
        <f>IF($F$69&lt;=0,0,$F$18*($G$241*(($E$18/2-0.35*$B$13)*MIN(($E$18/2-0.35*$B$13),$F$241)-MIN(($E$18/2-0.35*$B$13),$F$241)^2/2)-IF(ABS($H$69)/$F$69&lt;=$E$18/6+0.000001,12*$F$69*ABS($H$69)/$F$69/($F$18*$E$18^3),$G$241/$F$241)*(($E$18/2-0.35*$B$13)*MIN(($E$18/2-0.35*$B$13),$F$241)^2/2-MIN(($E$18/2-0.35*$B$13),$F$241)^3/3)))-1.35*($E$7*$G$18+$I$7*MAX($G$7-$G$18,0))*$F$18*($E$18/2-0.35*$B$13)^2/2</f>
        <v>2.0301005076923087</v>
      </c>
      <c r="I241" s="14">
        <f>MAX($H$241,0)/($F$18*$H$18^2*$H$10*1000)</f>
        <v>9.3695400534766951E-4</v>
      </c>
      <c r="J241" s="3">
        <f>IF($H$241&lt;=0,0,IF($I$241&gt;=0.5,"μ ≥ 0,5",10*$H$241/($H$18*(1-0.4*1.25*(1-SQRT(1-2*$I$241)))*$E$10)))</f>
        <v>0.17024127722437904</v>
      </c>
      <c r="K241" s="10">
        <f>MAX(N($E$241),N($J$241))</f>
        <v>0.23168686224489793</v>
      </c>
    </row>
    <row r="242" spans="2:11" x14ac:dyDescent="0.25">
      <c r="B242" s="7" t="s">
        <v>80</v>
      </c>
      <c r="C242" s="3">
        <f>$G$34+1.35*$J$55</f>
        <v>65.069999999999993</v>
      </c>
      <c r="D242" s="5">
        <f>IF($C$242&gt;0,ABS($H$70)/$C$242,"—")</f>
        <v>0</v>
      </c>
      <c r="E242" s="3">
        <f>IF($C$242&lt;=0,"—",IF($D$242&lt;=$E$18/6+0.000001,10*$C$242*(1+3*$D$242/$E$18)*($E$18-$B$13)/(8*$H$18*$E$10),"—"))</f>
        <v>0.61358828352769668</v>
      </c>
      <c r="F242" s="5">
        <f>IF($F$70&lt;=0,0,IF(ABS($H$70)/$F$70&lt;=$E$18/6+0.000001,$E$18,3*($E$18/2-ABS($H$70)/$F$70)))</f>
        <v>1.3</v>
      </c>
      <c r="G242" s="13">
        <f>IF($F$70&lt;=0,0,IF(ABS($H$70)/$F$70&lt;=$E$18/6+0.000001,$F$70/($E$18*$F$18)*(1+6*ABS($H$70)/$F$70/$E$18),2*$F$70/($F$18*$F$242)))</f>
        <v>76.202307692307684</v>
      </c>
      <c r="H242" s="3">
        <f>IF($F$70&lt;=0,0,$F$18*($G$242*(($E$18/2-0.35*$B$13)*MIN(($E$18/2-0.35*$B$13),$F$242)-MIN(($E$18/2-0.35*$B$13),$F$242)^2/2)-IF(ABS($H$70)/$F$70&lt;=$E$18/6+0.000001,12*$F$70*ABS($H$70)/$F$70/($F$18*$E$18^3),$G$242/$F$242)*(($E$18/2-0.35*$B$13)*MIN(($E$18/2-0.35*$B$13),$F$242)^2/2-MIN(($E$18/2-0.35*$B$13),$F$242)^3/3)))-1.35*($E$7*$G$18+$I$7*MAX($G$7-$G$18,0))*$F$18*($E$18/2-0.35*$B$13)^2/2</f>
        <v>6.0816581999999979</v>
      </c>
      <c r="I242" s="14">
        <f>MAX($H$242,0)/($F$18*$H$18^2*$H$10*1000)</f>
        <v>2.8068728558286469E-3</v>
      </c>
      <c r="J242" s="3">
        <f>IF($H$242&lt;=0,0,IF($I$242&gt;=0.5,"μ ≥ 0,5",10*$H$242/($H$18*(1-0.4*1.25*(1-SQRT(1-2*$I$242)))*$E$10)))</f>
        <v>0.5104774112008944</v>
      </c>
      <c r="K242" s="10">
        <f>MAX(N($E$242),N($J$242))</f>
        <v>0.61358828352769668</v>
      </c>
    </row>
    <row r="243" spans="2:11" x14ac:dyDescent="0.25">
      <c r="B243" s="7" t="s">
        <v>81</v>
      </c>
      <c r="C243" s="3">
        <f>$G$35+1.35*$J$55</f>
        <v>13.77</v>
      </c>
      <c r="D243" s="5">
        <f>IF($C$243&gt;0,ABS($H$71)/$C$243,"—")</f>
        <v>0</v>
      </c>
      <c r="E243" s="3">
        <f>IF($C$243&lt;=0,"—",IF($D$243&lt;=$E$18/6+0.000001,10*$C$243*(1+3*$D$243/$E$18)*($E$18-$B$13)/(8*$H$18*$E$10),"—"))</f>
        <v>0.12984648323615158</v>
      </c>
      <c r="F243" s="5">
        <f>IF($F$71&lt;=0,0,IF(ABS($H$71)/$F$71&lt;=$E$18/6+0.000001,$E$18,3*($E$18/2-ABS($H$71)/$F$71)))</f>
        <v>1.3</v>
      </c>
      <c r="G243" s="13">
        <f>IF($F$71&lt;=0,0,IF(ABS($H$71)/$F$71&lt;=$E$18/6+0.000001,$F$71/($E$18*$F$18)*(1+6*ABS($H$71)/$F$71/$E$18),2*$F$71/($F$18*$F$243)))</f>
        <v>45.847278106508874</v>
      </c>
      <c r="H243" s="3">
        <f>IF($F$71&lt;=0,0,$F$18*($G$243*(($E$18/2-0.35*$B$13)*MIN(($E$18/2-0.35*$B$13),$F$243)-MIN(($E$18/2-0.35*$B$13),$F$243)^2/2)-IF(ABS($H$71)/$F$71&lt;=$E$18/6+0.000001,12*$F$71*ABS($H$71)/$F$71/($F$18*$E$18^3),$G$243/$F$243)*(($E$18/2-0.35*$B$13)*MIN(($E$18/2-0.35*$B$13),$F$243)^2/2-MIN(($E$18/2-0.35*$B$13),$F$243)^3/3)))-1.35*($E$7*$G$18+$I$7*MAX($G$7-$G$18,0))*$F$18*($E$18/2-0.35*$B$13)^2/2</f>
        <v>0.94968512307692166</v>
      </c>
      <c r="I243" s="14">
        <f>MAX($H$243,0)/($F$18*$H$18^2*$H$10*1000)</f>
        <v>4.3830897855274073E-4</v>
      </c>
      <c r="J243" s="3">
        <f>IF($H$243&lt;=0,0,IF($I$243&gt;=0.5,"μ ≥ 0,5",10*$H$243/($H$18*(1-0.4*1.25*(1-SQRT(1-2*$I$243)))*$E$10)))</f>
        <v>7.9619339899833594E-2</v>
      </c>
      <c r="K243" s="10">
        <f>MAX(N($E$243),N($J$243))</f>
        <v>0.12984648323615158</v>
      </c>
    </row>
    <row r="244" spans="2:11" x14ac:dyDescent="0.25">
      <c r="B244" s="7" t="s">
        <v>82</v>
      </c>
      <c r="C244" s="3">
        <f>$G$36+1.35*$J$55</f>
        <v>54.27</v>
      </c>
      <c r="D244" s="5">
        <f>IF($C$244&gt;0,ABS($H$72)/$C$244,"—")</f>
        <v>0</v>
      </c>
      <c r="E244" s="3">
        <f>IF($C$244&lt;=0,"—",IF($D$244&lt;=$E$18/6+0.000001,10*$C$244*(1+3*$D$244/$E$18)*($E$18-$B$13)/(8*$H$18*$E$10),"—"))</f>
        <v>0.51174790451895047</v>
      </c>
      <c r="F244" s="5">
        <f>IF($F$72&lt;=0,0,IF(ABS($H$72)/$F$72&lt;=$E$18/6+0.000001,$E$18,3*($E$18/2-ABS($H$72)/$F$72)))</f>
        <v>1.3</v>
      </c>
      <c r="G244" s="13">
        <f>IF($F$72&lt;=0,0,IF(ABS($H$72)/$F$72&lt;=$E$18/6+0.000001,$F$72/($E$18*$F$18)*(1+6*ABS($H$72)/$F$72/$E$18),2*$F$72/($F$18*$F$244)))</f>
        <v>69.811775147928998</v>
      </c>
      <c r="H244" s="3">
        <f>IF($F$72&lt;=0,0,$F$18*($G$244*(($E$18/2-0.35*$B$13)*MIN(($E$18/2-0.35*$B$13),$F$244)-MIN(($E$18/2-0.35*$B$13),$F$244)^2/2)-IF(ABS($H$72)/$F$72&lt;=$E$18/6+0.000001,12*$F$72*ABS($H$72)/$F$72/($F$18*$E$18^3),$G$244/$F$244)*(($E$18/2-0.35*$B$13)*MIN(($E$18/2-0.35*$B$13),$F$244)^2/2-MIN(($E$18/2-0.35*$B$13),$F$244)^3/3)))-1.35*($E$7*$G$18+$I$7*MAX($G$7-$G$18,0))*$F$18*($E$18/2-0.35*$B$13)^2/2</f>
        <v>5.0012428153846162</v>
      </c>
      <c r="I244" s="14">
        <f>MAX($H$244,0)/($F$18*$H$18^2*$H$10*1000)</f>
        <v>2.3082278290337205E-3</v>
      </c>
      <c r="J244" s="3">
        <f>IF($H$244&lt;=0,0,IF($I$244&gt;=0.5,"μ ≥ 0,5",10*$H$244/($H$18*(1-0.4*1.25*(1-SQRT(1-2*$I$244)))*$E$10)))</f>
        <v>0.41968530671424314</v>
      </c>
      <c r="K244" s="10">
        <f>MAX(N($E$244),N($J$244))</f>
        <v>0.51174790451895047</v>
      </c>
    </row>
    <row r="245" spans="2:11" x14ac:dyDescent="0.25">
      <c r="B245" s="7" t="s">
        <v>83</v>
      </c>
      <c r="C245" s="3">
        <f>$G$37+1*$J$55</f>
        <v>48.2</v>
      </c>
      <c r="D245" s="5">
        <f>IF($C$245&gt;0,ABS($H$73)/$C$245,"—")</f>
        <v>0</v>
      </c>
      <c r="E245" s="3">
        <f>IF($C$245&lt;=0,"—",IF($D$245&lt;=$E$18/6+0.000001,10*$C$245*(1+3*$D$245/$E$18)*($E$18-$B$13)/(8*$H$18*$G$10),"—"))</f>
        <v>0.78404884031584177</v>
      </c>
      <c r="F245" s="5">
        <f>IF($F$73&lt;=0,0,IF(ABS($H$73)/$F$73&lt;=$E$18/6+0.000001,$E$18,3*($E$18/2-ABS($H$73)/$F$73)))</f>
        <v>1.3</v>
      </c>
      <c r="G245" s="13">
        <f>IF($F$73&lt;=0,0,IF(ABS($H$73)/$F$73&lt;=$E$18/6+0.000001,$F$73/($E$18*$F$18)*(1+6*ABS($H$73)/$F$73/$E$18),2*$F$73/($F$18*$F$245)))</f>
        <v>56.446153846153841</v>
      </c>
      <c r="H245" s="3">
        <f>IF($F$73&lt;=0,0,$F$18*($G$245*(($E$18/2-0.35*$B$13)*MIN(($E$18/2-0.35*$B$13),$F$245)-MIN(($E$18/2-0.35*$B$13),$F$245)^2/2)-IF(ABS($H$73)/$F$73&lt;=$E$18/6+0.000001,12*$F$73*ABS($H$73)/$F$73/($F$18*$E$18^3),$G$245/$F$245)*(($E$18/2-0.35*$B$13)*MIN(($E$18/2-0.35*$B$13),$F$245)^2/2-MIN(($E$18/2-0.35*$B$13),$F$245)^3/3)))-1*($E$7*$G$18+$I$7*MAX($G$7-$G$18,0))*$F$18*($E$18/2-0.35*$B$13)^2/2</f>
        <v>4.5049319999999993</v>
      </c>
      <c r="I245" s="14">
        <f>MAX($H$245,0)/($F$18*$H$18^2*$G$10*1000)</f>
        <v>1.4608119860989386E-4</v>
      </c>
      <c r="J245" s="3">
        <f>IF($H$245&lt;=0,0,10*$H$245/($H$18*(1-(1+2*SQRT((3+90*$I$245)/3)*COS(ACOS((3/(3+90*$I$245))*SQRT(3/(3+90*$I$245)))/3-2*PI()/3))/3)*$G$10))</f>
        <v>0.6657391153313077</v>
      </c>
      <c r="K245" s="10">
        <f>MAX(N($E$245),N($J$245))</f>
        <v>0.78404884031584177</v>
      </c>
    </row>
    <row r="246" spans="2:11" x14ac:dyDescent="0.25">
      <c r="B246" s="7" t="s">
        <v>85</v>
      </c>
      <c r="C246" s="3">
        <f>$G$38+1*$J$55</f>
        <v>40.200000000000003</v>
      </c>
      <c r="D246" s="5">
        <f>IF($C$246&gt;0,ABS($H$74)/$C$246,"—")</f>
        <v>0</v>
      </c>
      <c r="E246" s="3">
        <f>IF($C$246&lt;=0,"—",IF($D$246&lt;=$E$18/6+0.000001,10*$C$246*(1+3*$D$246/$E$18)*($E$18-$B$13)/(8*$H$18*$G$10),"—"))</f>
        <v>0.65391625271155274</v>
      </c>
      <c r="F246" s="5">
        <f>IF($F$74&lt;=0,0,IF(ABS($H$74)/$F$74&lt;=$E$18/6+0.000001,$E$18,3*($E$18/2-ABS($H$74)/$F$74)))</f>
        <v>1.3</v>
      </c>
      <c r="G246" s="13">
        <f>IF($F$74&lt;=0,0,IF(ABS($H$74)/$F$74&lt;=$E$18/6+0.000001,$F$74/($E$18*$F$18)*(1+6*ABS($H$74)/$F$74/$E$18),2*$F$74/($F$18*$F$246)))</f>
        <v>51.712426035502958</v>
      </c>
      <c r="H246" s="3">
        <f>IF($F$74&lt;=0,0,$F$18*($G$246*(($E$18/2-0.35*$B$13)*MIN(($E$18/2-0.35*$B$13),$F$246)-MIN(($E$18/2-0.35*$B$13),$F$246)^2/2)-IF(ABS($H$74)/$F$74&lt;=$E$18/6+0.000001,12*$F$74*ABS($H$74)/$F$74/($F$18*$E$18^3),$G$246/$F$246)*(($E$18/2-0.35*$B$13)*MIN(($E$18/2-0.35*$B$13),$F$246)^2/2-MIN(($E$18/2-0.35*$B$13),$F$246)^3/3)))-1*($E$7*$G$18+$I$7*MAX($G$7-$G$18,0))*$F$18*($E$18/2-0.35*$B$13)^2/2</f>
        <v>3.7046243076923071</v>
      </c>
      <c r="I246" s="14">
        <f>MAX($H$246,0)/($F$18*$H$18^2*$G$10*1000)</f>
        <v>1.2012966217182425E-4</v>
      </c>
      <c r="J246" s="3">
        <f>IF($H$246&lt;=0,0,10*$H$246/($H$18*(1-(1+2*SQRT((3+90*$I$246)/3)*COS(ACOS((3/(3+90*$I$246))*SQRT(3/(3+90*$I$246)))/3-2*PI()/3))/3)*$G$10))</f>
        <v>0.5463705950104818</v>
      </c>
      <c r="K246" s="10">
        <f>MAX(N($E$246),N($J$246))</f>
        <v>0.65391625271155274</v>
      </c>
    </row>
    <row r="247" spans="2:11" x14ac:dyDescent="0.25">
      <c r="B247" s="7" t="s">
        <v>86</v>
      </c>
      <c r="C247" s="3">
        <f>$G$39+1*$J$55</f>
        <v>10.199999999999999</v>
      </c>
      <c r="D247" s="5">
        <f>IF($C$247&gt;0,ABS($H$75)/$C$247,"—")</f>
        <v>0</v>
      </c>
      <c r="E247" s="3">
        <f>IF($C$247&lt;=0,"—",IF($D$247&lt;=$E$18/6+0.000001,10*$C$247*(1+3*$D$247/$E$18)*($E$18-$B$13)/(8*$H$18*$G$10),"—"))</f>
        <v>0.16591904919546857</v>
      </c>
      <c r="F247" s="5">
        <f>IF($F$75&lt;=0,0,IF(ABS($H$75)/$F$75&lt;=$E$18/6+0.000001,$E$18,3*($E$18/2-ABS($H$75)/$F$75)))</f>
        <v>1.3</v>
      </c>
      <c r="G247" s="13">
        <f>IF($F$75&lt;=0,0,IF(ABS($H$75)/$F$75&lt;=$E$18/6+0.000001,$F$75/($E$18*$F$18)*(1+6*ABS($H$75)/$F$75/$E$18),2*$F$75/($F$18*$F$247)))</f>
        <v>33.960946745562133</v>
      </c>
      <c r="H247" s="3">
        <f>IF($F$75&lt;=0,0,$F$18*($G$247*(($E$18/2-0.35*$B$13)*MIN(($E$18/2-0.35*$B$13),$F$247)-MIN(($E$18/2-0.35*$B$13),$F$247)^2/2)-IF(ABS($H$75)/$F$75&lt;=$E$18/6+0.000001,12*$F$75*ABS($H$75)/$F$75/($F$18*$E$18^3),$G$247/$F$247)*(($E$18/2-0.35*$B$13)*MIN(($E$18/2-0.35*$B$13),$F$247)^2/2-MIN(($E$18/2-0.35*$B$13),$F$247)^3/3)))-1*($E$7*$G$18+$I$7*MAX($G$7-$G$18,0))*$F$18*($E$18/2-0.35*$B$13)^2/2</f>
        <v>0.70347046153846193</v>
      </c>
      <c r="I247" s="14">
        <f>MAX($H$247,0)/($F$18*$H$18^2*$G$10*1000)</f>
        <v>2.2811400529063209E-5</v>
      </c>
      <c r="J247" s="3">
        <f>IF($H$247&lt;=0,0,10*$H$247/($H$18*(1-(1+2*SQRT((3+90*$I$247)/3)*COS(ACOS((3/(3+90*$I$247))*SQRT(3/(3+90*$I$247)))/3-2*PI()/3))/3)*$G$10))</f>
        <v>0.10260289472658592</v>
      </c>
      <c r="K247" s="10">
        <f>MAX(N($E$247),N($J$247))</f>
        <v>0.16591904919546857</v>
      </c>
    </row>
    <row r="248" spans="2:11" x14ac:dyDescent="0.25">
      <c r="B248" s="7" t="s">
        <v>87</v>
      </c>
      <c r="C248" s="3">
        <f>$G$40+1*$J$55</f>
        <v>40.200000000000003</v>
      </c>
      <c r="D248" s="5">
        <f>IF($C$248&gt;0,ABS($H$76)/$C$248,"—")</f>
        <v>0</v>
      </c>
      <c r="E248" s="3">
        <f>IF($C$248&lt;=0,"—",IF($D$248&lt;=$E$18/6+0.000001,10*$C$248*(1+3*$D$248/$E$18)*($E$18-$B$13)/(8*$H$18*$G$10),"—"))</f>
        <v>0.65391625271155274</v>
      </c>
      <c r="F248" s="5">
        <f>IF($F$76&lt;=0,0,IF(ABS($H$76)/$F$76&lt;=$E$18/6+0.000001,$E$18,3*($E$18/2-ABS($H$76)/$F$76)))</f>
        <v>1.3</v>
      </c>
      <c r="G248" s="13">
        <f>IF($F$76&lt;=0,0,IF(ABS($H$76)/$F$76&lt;=$E$18/6+0.000001,$F$76/($E$18*$F$18)*(1+6*ABS($H$76)/$F$76/$E$18),2*$F$76/($F$18*$F$248)))</f>
        <v>51.712426035502958</v>
      </c>
      <c r="H248" s="3">
        <f>IF($F$76&lt;=0,0,$F$18*($G$248*(($E$18/2-0.35*$B$13)*MIN(($E$18/2-0.35*$B$13),$F$248)-MIN(($E$18/2-0.35*$B$13),$F$248)^2/2)-IF(ABS($H$76)/$F$76&lt;=$E$18/6+0.000001,12*$F$76*ABS($H$76)/$F$76/($F$18*$E$18^3),$G$248/$F$248)*(($E$18/2-0.35*$B$13)*MIN(($E$18/2-0.35*$B$13),$F$248)^2/2-MIN(($E$18/2-0.35*$B$13),$F$248)^3/3)))-1*($E$7*$G$18+$I$7*MAX($G$7-$G$18,0))*$F$18*($E$18/2-0.35*$B$13)^2/2</f>
        <v>3.7046243076923071</v>
      </c>
      <c r="I248" s="14">
        <f>MAX($H$248,0)/($F$18*$H$18^2*$G$10*1000)</f>
        <v>1.2012966217182425E-4</v>
      </c>
      <c r="J248" s="3">
        <f>IF($H$248&lt;=0,0,10*$H$248/($H$18*(1-(1+2*SQRT((3+90*$I$248)/3)*COS(ACOS((3/(3+90*$I$248))*SQRT(3/(3+90*$I$248)))/3-2*PI()/3))/3)*$G$10))</f>
        <v>0.5463705950104818</v>
      </c>
      <c r="K248" s="10">
        <f>MAX(N($E$248),N($J$248))</f>
        <v>0.65391625271155274</v>
      </c>
    </row>
    <row r="249" spans="2:11" x14ac:dyDescent="0.25">
      <c r="B249" s="7" t="s">
        <v>88</v>
      </c>
      <c r="C249" s="3">
        <f>$G$41+1*$J$55</f>
        <v>20.399999999999999</v>
      </c>
      <c r="D249" s="5">
        <f>IF($C$249&gt;0,ABS($H$77)/$C$249,"—")</f>
        <v>0</v>
      </c>
      <c r="E249" s="3">
        <f>IF($C$249&lt;=0,"—",IF($D$249&lt;=$E$18/6+0.000001,10*$C$249*(1+3*$D$249/$E$18)*($E$18-$B$13)/(8*$H$18*$G$10),"—"))</f>
        <v>0.33183809839093714</v>
      </c>
      <c r="F249" s="5">
        <f>IF($F$77&lt;=0,0,IF(ABS($H$77)/$F$77&lt;=$E$18/6+0.000001,$E$18,3*($E$18/2-ABS($H$77)/$F$77)))</f>
        <v>1.3</v>
      </c>
      <c r="G249" s="13">
        <f>IF($F$77&lt;=0,0,IF(ABS($H$77)/$F$77&lt;=$E$18/6+0.000001,$F$77/($E$18*$F$18)*(1+6*ABS($H$77)/$F$77/$E$18),2*$F$77/($F$18*$F$249)))</f>
        <v>39.996449704142016</v>
      </c>
      <c r="H249" s="3">
        <f>IF($F$77&lt;=0,0,$F$18*($G$249*(($E$18/2-0.35*$B$13)*MIN(($E$18/2-0.35*$B$13),$F$249)-MIN(($E$18/2-0.35*$B$13),$F$249)^2/2)-IF(ABS($H$77)/$F$77&lt;=$E$18/6+0.000001,12*$F$77*ABS($H$77)/$F$77/($F$18*$E$18^3),$G$249/$F$249)*(($E$18/2-0.35*$B$13)*MIN(($E$18/2-0.35*$B$13),$F$249)^2/2-MIN(($E$18/2-0.35*$B$13),$F$249)^3/3)))-1*($E$7*$G$18+$I$7*MAX($G$7-$G$18,0))*$F$18*($E$18/2-0.35*$B$13)^2/2</f>
        <v>1.7238627692307702</v>
      </c>
      <c r="I249" s="14">
        <f>MAX($H$249,0)/($F$18*$H$18^2*$G$10*1000)</f>
        <v>5.5899609487601991E-5</v>
      </c>
      <c r="J249" s="3">
        <f>IF($H$249&lt;=0,0,10*$H$249/($H$18*(1-(1+2*SQRT((3+90*$I$249)/3)*COS(ACOS((3/(3+90*$I$249))*SQRT(3/(3+90*$I$249)))/3-2*PI()/3))/3)*$G$10))</f>
        <v>0.25265783580657281</v>
      </c>
      <c r="K249" s="10">
        <f>MAX(N($E$249),N($J$249))</f>
        <v>0.33183809839093714</v>
      </c>
    </row>
    <row r="250" spans="2:11" x14ac:dyDescent="0.25">
      <c r="B250" s="7" t="s">
        <v>89</v>
      </c>
      <c r="C250" s="3">
        <f>$G$42+1*$J$55</f>
        <v>47.400000000000006</v>
      </c>
      <c r="D250" s="5">
        <f>IF($C$250&gt;0,ABS($H$78)/$C$250,"—")</f>
        <v>0</v>
      </c>
      <c r="E250" s="3">
        <f>IF($C$250&lt;=0,"—",IF($D$250&lt;=$E$18/6+0.000001,10*$C$250*(1+3*$D$250/$E$18)*($E$18-$B$13)/(8*$H$18*$G$10),"—"))</f>
        <v>0.77103558155541296</v>
      </c>
      <c r="F250" s="5">
        <f>IF($F$78&lt;=0,0,IF(ABS($H$78)/$F$78&lt;=$E$18/6+0.000001,$E$18,3*($E$18/2-ABS($H$78)/$F$78)))</f>
        <v>1.3</v>
      </c>
      <c r="G250" s="13">
        <f>IF($F$78&lt;=0,0,IF(ABS($H$78)/$F$78&lt;=$E$18/6+0.000001,$F$78/($E$18*$F$18)*(1+6*ABS($H$78)/$F$78/$E$18),2*$F$78/($F$18*$F$250)))</f>
        <v>55.972781065088753</v>
      </c>
      <c r="H250" s="3">
        <f>IF($F$78&lt;=0,0,$F$18*($G$250*(($E$18/2-0.35*$B$13)*MIN(($E$18/2-0.35*$B$13),$F$250)-MIN(($E$18/2-0.35*$B$13),$F$250)^2/2)-IF(ABS($H$78)/$F$78&lt;=$E$18/6+0.000001,12*$F$78*ABS($H$78)/$F$78/($F$18*$E$18^3),$G$250/$F$250)*(($E$18/2-0.35*$B$13)*MIN(($E$18/2-0.35*$B$13),$F$250)^2/2-MIN(($E$18/2-0.35*$B$13),$F$250)^3/3)))-1*($E$7*$G$18+$I$7*MAX($G$7-$G$18,0))*$F$18*($E$18/2-0.35*$B$13)^2/2</f>
        <v>4.4249012307692306</v>
      </c>
      <c r="I250" s="14">
        <f>MAX($H$250,0)/($F$18*$H$18^2*$G$10*1000)</f>
        <v>1.4348604496608691E-4</v>
      </c>
      <c r="J250" s="3">
        <f>IF($H$250&lt;=0,0,10*$H$250/($H$18*(1-(1+2*SQRT((3+90*$I$250)/3)*COS(ACOS((3/(3+90*$I$250))*SQRT(3/(3+90*$I$250)))/3-2*PI()/3))/3)*$G$10))</f>
        <v>0.65378647279323632</v>
      </c>
      <c r="K250" s="10">
        <f>MAX(N($E$250),N($J$250))</f>
        <v>0.77103558155541296</v>
      </c>
    </row>
    <row r="251" spans="2:11" ht="28.5" x14ac:dyDescent="0.25">
      <c r="B251" s="7" t="s">
        <v>90</v>
      </c>
      <c r="C251" s="3">
        <f>$G$43+1*$J$55</f>
        <v>53.400000000000006</v>
      </c>
      <c r="D251" s="5">
        <f>IF($C$251&gt;0,ABS($H$79)/$C$251,"—")</f>
        <v>0.68764044943820213</v>
      </c>
      <c r="E251" s="3" t="str">
        <f>IF($C$251&lt;=0,"—",IF($D$251&lt;=$E$18/6+0.000001,10*$C$251*(1+3*$D$251/$E$18)*($E$18-$B$13)/(8*$H$18*$F$10),"—"))</f>
        <v>—</v>
      </c>
      <c r="F251" s="5">
        <f>IF($F$79&lt;=0,0,IF(ABS($H$79)/$F$79&lt;=$E$18/6+0.000001,$E$18,3*($E$18/2-ABS($H$79)/$F$79)))</f>
        <v>0.85490486510129848</v>
      </c>
      <c r="G251" s="13">
        <f>IF($F$79&lt;=0,0,IF(ABS($H$79)/$F$79&lt;=$E$18/6+0.000001,$F$79/($E$18*$F$18)*(1+6*ABS($H$79)/$F$79/$E$18),2*$F$79/($F$18*$F$251)))</f>
        <v>181.02599051376592</v>
      </c>
      <c r="H251" s="3">
        <f>IF($F$79&lt;=0,0,$F$18*($G$251*(($E$18/2-0.35*$B$13)*MIN(($E$18/2-0.35*$B$13),$F$251)-MIN(($E$18/2-0.35*$B$13),$F$251)^2/2)-IF(ABS($H$79)/$F$79&lt;=$E$18/6+0.000001,12*$F$79*ABS($H$79)/$F$79/($F$18*$E$18^3),$G$251/$F$251)*(($E$18/2-0.35*$B$13)*MIN(($E$18/2-0.35*$B$13),$F$251)^2/2-MIN(($E$18/2-0.35*$B$13),$F$251)^3/3)))-1*($E$7*$G$18+$I$7*MAX($G$7-$G$18,0))*$F$18*($E$18/2-0.35*$B$13)^2/2</f>
        <v>19.481108603849229</v>
      </c>
      <c r="I251" s="14">
        <f>MAX($H$251,0)/($F$18*$H$18^2*$I$10*1000)</f>
        <v>7.192906032317873E-3</v>
      </c>
      <c r="J251" s="3">
        <f>IF($H$251&lt;=0,0,IF($I$251&gt;=0.5,"μ ≥ 0,5",10*$H$251/($H$18*(1-0.4*1.25*(1-SQRT(1-2*$I$251)))*$F$10)))</f>
        <v>1.4250495647742587</v>
      </c>
      <c r="K251" s="10">
        <f>MAX(N($E$251),N($J$251))</f>
        <v>1.4250495647742587</v>
      </c>
    </row>
    <row r="252" spans="2:11" ht="28.5" x14ac:dyDescent="0.25">
      <c r="B252" s="7" t="s">
        <v>92</v>
      </c>
      <c r="C252" s="3">
        <f>$G$44+1*$J$55</f>
        <v>53.400000000000006</v>
      </c>
      <c r="D252" s="5">
        <f>IF($C$252&gt;0,ABS($H$80)/$C$252,"—")</f>
        <v>0.68764044943820213</v>
      </c>
      <c r="E252" s="3" t="str">
        <f>IF($C$252&lt;=0,"—",IF($D$252&lt;=$E$18/6+0.000001,10*$C$252*(1+3*$D$252/$E$18)*($E$18-$B$13)/(8*$H$18*$F$10),"—"))</f>
        <v>—</v>
      </c>
      <c r="F252" s="5">
        <f>IF($F$80&lt;=0,0,IF(ABS($H$80)/$F$80&lt;=$E$18/6+0.000001,$E$18,3*($E$18/2-ABS($H$80)/$F$80)))</f>
        <v>0.85490486510129848</v>
      </c>
      <c r="G252" s="13">
        <f>IF($F$80&lt;=0,0,IF(ABS($H$80)/$F$80&lt;=$E$18/6+0.000001,$F$80/($E$18*$F$18)*(1+6*ABS($H$80)/$F$80/$E$18),2*$F$80/($F$18*$F$252)))</f>
        <v>181.02599051376592</v>
      </c>
      <c r="H252" s="3">
        <f>IF($F$80&lt;=0,0,$F$18*($G$252*(($E$18/2-0.35*$B$13)*MIN(($E$18/2-0.35*$B$13),$F$252)-MIN(($E$18/2-0.35*$B$13),$F$252)^2/2)-IF(ABS($H$80)/$F$80&lt;=$E$18/6+0.000001,12*$F$80*ABS($H$80)/$F$80/($F$18*$E$18^3),$G$252/$F$252)*(($E$18/2-0.35*$B$13)*MIN(($E$18/2-0.35*$B$13),$F$252)^2/2-MIN(($E$18/2-0.35*$B$13),$F$252)^3/3)))-1*($E$7*$G$18+$I$7*MAX($G$7-$G$18,0))*$F$18*($E$18/2-0.35*$B$13)^2/2</f>
        <v>19.481108603849229</v>
      </c>
      <c r="I252" s="14">
        <f>MAX($H$252,0)/($F$18*$H$18^2*$I$10*1000)</f>
        <v>7.192906032317873E-3</v>
      </c>
      <c r="J252" s="3">
        <f>IF($H$252&lt;=0,0,IF($I$252&gt;=0.5,"μ ≥ 0,5",10*$H$252/($H$18*(1-0.4*1.25*(1-SQRT(1-2*$I$252)))*$F$10)))</f>
        <v>1.4250495647742587</v>
      </c>
      <c r="K252" s="10">
        <f>MAX(N($E$252),N($J$252))</f>
        <v>1.4250495647742587</v>
      </c>
    </row>
    <row r="253" spans="2:11" ht="28.5" x14ac:dyDescent="0.25">
      <c r="B253" s="7" t="s">
        <v>93</v>
      </c>
      <c r="C253" s="3">
        <f>$G$45+1*$J$55</f>
        <v>45.84</v>
      </c>
      <c r="D253" s="5">
        <f>IF($C$253&gt;0,ABS($H$81)/$C$253,"—")</f>
        <v>0.24031413612565444</v>
      </c>
      <c r="E253" s="3" t="str">
        <f>IF($C$253&lt;=0,"—",IF($D$253&lt;=$E$18/6+0.000001,10*$C$253*(1+3*$D$253/$E$18)*($E$18-$B$13)/(8*$H$18*$F$10),"—"))</f>
        <v>—</v>
      </c>
      <c r="F253" s="5">
        <f>IF($F$81&lt;=0,0,IF(ABS($H$81)/$F$81&lt;=$E$18/6+0.000001,$E$18,3*($E$18/2-ABS($H$81)/$F$81)))</f>
        <v>1.3</v>
      </c>
      <c r="G253" s="13">
        <f>IF($F$81&lt;=0,0,IF(ABS($H$81)/$F$81&lt;=$E$18/6+0.000001,$F$81/($E$18*$F$18)*(1+6*ABS($H$81)/$F$81/$E$18),2*$F$81/($F$18*$F$253)))</f>
        <v>85.134365043240777</v>
      </c>
      <c r="H253" s="3">
        <f>IF($F$81&lt;=0,0,$F$18*($G$253*(($E$18/2-0.35*$B$13)*MIN(($E$18/2-0.35*$B$13),$F$253)-MIN(($E$18/2-0.35*$B$13),$F$253)^2/2)-IF(ABS($H$81)/$F$81&lt;=$E$18/6+0.000001,12*$F$81*ABS($H$81)/$F$81/($F$18*$E$18^3),$G$253/$F$253)*(($E$18/2-0.35*$B$13)*MIN(($E$18/2-0.35*$B$13),$F$253)^2/2-MIN(($E$18/2-0.35*$B$13),$F$253)^3/3)))-1*($E$7*$G$18+$I$7*MAX($G$7-$G$18,0))*$F$18*($E$18/2-0.35*$B$13)^2/2</f>
        <v>8.0248509749658616</v>
      </c>
      <c r="I253" s="14">
        <f>MAX($H$253,0)/($F$18*$H$18^2*$I$10*1000)</f>
        <v>2.9629730093942781E-3</v>
      </c>
      <c r="J253" s="3">
        <f>IF($H$253&lt;=0,0,IF($I$253&gt;=0.5,"μ ≥ 0,5",10*$H$253/($H$18*(1-0.4*1.25*(1-SQRT(1-2*$I$253)))*$F$10)))</f>
        <v>0.58577077553353385</v>
      </c>
      <c r="K253" s="10">
        <f>MAX(N($E$253),N($J$253))</f>
        <v>0.58577077553353385</v>
      </c>
    </row>
    <row r="254" spans="2:11" ht="28.5" x14ac:dyDescent="0.25">
      <c r="B254" s="7" t="s">
        <v>94</v>
      </c>
      <c r="C254" s="3">
        <f>$G$46+1*$J$55</f>
        <v>45.84</v>
      </c>
      <c r="D254" s="5">
        <f>IF($C$254&gt;0,ABS($H$82)/$C$254,"—")</f>
        <v>0.24031413612565444</v>
      </c>
      <c r="E254" s="3" t="str">
        <f>IF($C$254&lt;=0,"—",IF($D$254&lt;=$E$18/6+0.000001,10*$C$254*(1+3*$D$254/$E$18)*($E$18-$B$13)/(8*$H$18*$F$10),"—"))</f>
        <v>—</v>
      </c>
      <c r="F254" s="5">
        <f>IF($F$82&lt;=0,0,IF(ABS($H$82)/$F$82&lt;=$E$18/6+0.000001,$E$18,3*($E$18/2-ABS($H$82)/$F$82)))</f>
        <v>1.3</v>
      </c>
      <c r="G254" s="13">
        <f>IF($F$82&lt;=0,0,IF(ABS($H$82)/$F$82&lt;=$E$18/6+0.000001,$F$82/($E$18*$F$18)*(1+6*ABS($H$82)/$F$82/$E$18),2*$F$82/($F$18*$F$254)))</f>
        <v>85.134365043240777</v>
      </c>
      <c r="H254" s="3">
        <f>IF($F$82&lt;=0,0,$F$18*($G$254*(($E$18/2-0.35*$B$13)*MIN(($E$18/2-0.35*$B$13),$F$254)-MIN(($E$18/2-0.35*$B$13),$F$254)^2/2)-IF(ABS($H$82)/$F$82&lt;=$E$18/6+0.000001,12*$F$82*ABS($H$82)/$F$82/($F$18*$E$18^3),$G$254/$F$254)*(($E$18/2-0.35*$B$13)*MIN(($E$18/2-0.35*$B$13),$F$254)^2/2-MIN(($E$18/2-0.35*$B$13),$F$254)^3/3)))-1*($E$7*$G$18+$I$7*MAX($G$7-$G$18,0))*$F$18*($E$18/2-0.35*$B$13)^2/2</f>
        <v>8.0248509749658616</v>
      </c>
      <c r="I254" s="14">
        <f>MAX($H$254,0)/($F$18*$H$18^2*$I$10*1000)</f>
        <v>2.9629730093942781E-3</v>
      </c>
      <c r="J254" s="3">
        <f>IF($H$254&lt;=0,0,IF($I$254&gt;=0.5,"μ ≥ 0,5",10*$H$254/($H$18*(1-0.4*1.25*(1-SQRT(1-2*$I$254)))*$F$10)))</f>
        <v>0.58577077553353385</v>
      </c>
      <c r="K254" s="10">
        <f>MAX(N($E$254),N($J$254))</f>
        <v>0.58577077553353385</v>
      </c>
    </row>
    <row r="255" spans="2:11" ht="28.5" x14ac:dyDescent="0.25">
      <c r="B255" s="7" t="s">
        <v>95</v>
      </c>
      <c r="C255" s="3">
        <f>$G$47+1*$J$55</f>
        <v>31.8</v>
      </c>
      <c r="D255" s="5">
        <f>IF($C$255&gt;0,ABS($H$83)/$C$255,"—")</f>
        <v>1.1547169811320754</v>
      </c>
      <c r="E255" s="3" t="str">
        <f>IF($C$255&lt;=0,"—",IF($D$255&lt;=$E$18/6+0.000001,10*$C$255*(1+3*$D$255/$E$18)*($E$18-$B$13)/(8*$H$18*$F$10),"—"))</f>
        <v>—</v>
      </c>
      <c r="F255" s="5">
        <f>IF($F$83&lt;=0,0,IF(ABS($H$83)/$F$83&lt;=$E$18/6+0.000001,$E$18,3*($E$18/2-ABS($H$83)/$F$83)))</f>
        <v>0.5554637061042611</v>
      </c>
      <c r="G255" s="13">
        <f>IF($F$83&lt;=0,0,IF(ABS($H$83)/$F$83&lt;=$E$18/6+0.000001,$F$83/($E$18*$F$18)*(1+6*ABS($H$83)/$F$83/$E$18),2*$F$83/($F$18*$F$255)))</f>
        <v>218.78878751876474</v>
      </c>
      <c r="H255" s="3">
        <f>IF($F$83&lt;=0,0,$F$18*($G$255*(($E$18/2-0.35*$B$13)*MIN(($E$18/2-0.35*$B$13),$F$255)-MIN(($E$18/2-0.35*$B$13),$F$255)^2/2)-IF(ABS($H$83)/$F$83&lt;=$E$18/6+0.000001,12*$F$83*ABS($H$83)/$F$83/($F$18*$E$18^3),$G$255/$F$255)*(($E$18/2-0.35*$B$13)*MIN(($E$18/2-0.35*$B$13),$F$255)^2/2-MIN(($E$18/2-0.35*$B$13),$F$255)^3/3)))-1*($E$7*$G$18+$I$7*MAX($G$7-$G$18,0))*$F$18*($E$18/2-0.35*$B$13)^2/2</f>
        <v>20.630722660486164</v>
      </c>
      <c r="I255" s="14">
        <f>MAX($H$255,0)/($F$18*$H$18^2*$I$10*1000)</f>
        <v>7.6173719110814346E-3</v>
      </c>
      <c r="J255" s="3">
        <f>IF($H$255&lt;=0,0,IF($I$255&gt;=0.5,"μ ≥ 0,5",10*$H$255/($H$18*(1-0.4*1.25*(1-SQRT(1-2*$I$255)))*$F$10)))</f>
        <v>1.509468141905999</v>
      </c>
      <c r="K255" s="10">
        <f>MAX(N($E$255),N($J$255))</f>
        <v>1.509468141905999</v>
      </c>
    </row>
    <row r="256" spans="2:11" ht="28.5" x14ac:dyDescent="0.25">
      <c r="B256" s="7" t="s">
        <v>96</v>
      </c>
      <c r="C256" s="3">
        <f>$G$48+1*$J$55</f>
        <v>31.8</v>
      </c>
      <c r="D256" s="5">
        <f>IF($C$256&gt;0,ABS($H$84)/$C$256,"—")</f>
        <v>1.1547169811320754</v>
      </c>
      <c r="E256" s="3" t="str">
        <f>IF($C$256&lt;=0,"—",IF($D$256&lt;=$E$18/6+0.000001,10*$C$256*(1+3*$D$256/$E$18)*($E$18-$B$13)/(8*$H$18*$F$10),"—"))</f>
        <v>—</v>
      </c>
      <c r="F256" s="5">
        <f>IF($F$84&lt;=0,0,IF(ABS($H$84)/$F$84&lt;=$E$18/6+0.000001,$E$18,3*($E$18/2-ABS($H$84)/$F$84)))</f>
        <v>0.5554637061042611</v>
      </c>
      <c r="G256" s="13">
        <f>IF($F$84&lt;=0,0,IF(ABS($H$84)/$F$84&lt;=$E$18/6+0.000001,$F$84/($E$18*$F$18)*(1+6*ABS($H$84)/$F$84/$E$18),2*$F$84/($F$18*$F$256)))</f>
        <v>218.78878751876474</v>
      </c>
      <c r="H256" s="3">
        <f>IF($F$84&lt;=0,0,$F$18*($G$256*(($E$18/2-0.35*$B$13)*MIN(($E$18/2-0.35*$B$13),$F$256)-MIN(($E$18/2-0.35*$B$13),$F$256)^2/2)-IF(ABS($H$84)/$F$84&lt;=$E$18/6+0.000001,12*$F$84*ABS($H$84)/$F$84/($F$18*$E$18^3),$G$256/$F$256)*(($E$18/2-0.35*$B$13)*MIN(($E$18/2-0.35*$B$13),$F$256)^2/2-MIN(($E$18/2-0.35*$B$13),$F$256)^3/3)))-1*($E$7*$G$18+$I$7*MAX($G$7-$G$18,0))*$F$18*($E$18/2-0.35*$B$13)^2/2</f>
        <v>20.630722660486164</v>
      </c>
      <c r="I256" s="14">
        <f>MAX($H$256,0)/($F$18*$H$18^2*$I$10*1000)</f>
        <v>7.6173719110814346E-3</v>
      </c>
      <c r="J256" s="3">
        <f>IF($H$256&lt;=0,0,IF($I$256&gt;=0.5,"μ ≥ 0,5",10*$H$256/($H$18*(1-0.4*1.25*(1-SQRT(1-2*$I$256)))*$F$10)))</f>
        <v>1.509468141905999</v>
      </c>
      <c r="K256" s="10">
        <f>MAX(N($E$256),N($J$256))</f>
        <v>1.509468141905999</v>
      </c>
    </row>
    <row r="257" spans="2:11" ht="28.5" x14ac:dyDescent="0.25">
      <c r="B257" s="7" t="s">
        <v>97</v>
      </c>
      <c r="C257" s="3">
        <f>$G$49+1*$J$55</f>
        <v>39.36</v>
      </c>
      <c r="D257" s="5">
        <f>IF($C$257&gt;0,ABS($H$85)/$C$257,"—")</f>
        <v>0.27987804878048783</v>
      </c>
      <c r="E257" s="3" t="str">
        <f>IF($C$257&lt;=0,"—",IF($D$257&lt;=$E$18/6+0.000001,10*$C$257*(1+3*$D$257/$E$18)*($E$18-$B$13)/(8*$H$18*$F$10),"—"))</f>
        <v>—</v>
      </c>
      <c r="F257" s="5">
        <f>IF($F$85&lt;=0,0,IF(ABS($H$85)/$F$85&lt;=$E$18/6+0.000001,$E$18,3*($E$18/2-ABS($H$85)/$F$85)))</f>
        <v>1.3</v>
      </c>
      <c r="G257" s="13">
        <f>IF($F$85&lt;=0,0,IF(ABS($H$85)/$F$85&lt;=$E$18/6+0.000001,$F$85/($E$18*$F$18)*(1+6*ABS($H$85)/$F$85/$E$18),2*$F$85/($F$18*$F$257)))</f>
        <v>81.300045516613565</v>
      </c>
      <c r="H257" s="3">
        <f>IF($F$85&lt;=0,0,$F$18*($G$257*(($E$18/2-0.35*$B$13)*MIN(($E$18/2-0.35*$B$13),$F$257)-MIN(($E$18/2-0.35*$B$13),$F$257)^2/2)-IF(ABS($H$85)/$F$85&lt;=$E$18/6+0.000001,12*$F$85*ABS($H$85)/$F$85/($F$18*$E$18^3),$G$257/$F$257)*(($E$18/2-0.35*$B$13)*MIN(($E$18/2-0.35*$B$13),$F$257)^2/2-MIN(($E$18/2-0.35*$B$13),$F$257)^3/3)))-1*($E$7*$G$18+$I$7*MAX($G$7-$G$18,0))*$F$18*($E$18/2-0.35*$B$13)^2/2</f>
        <v>7.3766017441966332</v>
      </c>
      <c r="I257" s="14">
        <f>MAX($H$257,0)/($F$18*$H$18^2*$I$10*1000)</f>
        <v>2.7236233965327139E-3</v>
      </c>
      <c r="J257" s="3">
        <f>IF($H$257&lt;=0,0,IF($I$257&gt;=0.5,"μ ≥ 0,5",10*$H$257/($H$18*(1-0.4*1.25*(1-SQRT(1-2*$I$257)))*$F$10)))</f>
        <v>0.53838737175842155</v>
      </c>
      <c r="K257" s="10">
        <f>MAX(N($E$257),N($J$257))</f>
        <v>0.53838737175842155</v>
      </c>
    </row>
    <row r="258" spans="2:11" ht="28.5" x14ac:dyDescent="0.25">
      <c r="B258" s="7" t="s">
        <v>98</v>
      </c>
      <c r="C258" s="3">
        <f>$G$50+1*$J$55</f>
        <v>39.36</v>
      </c>
      <c r="D258" s="5">
        <f>IF($C$258&gt;0,ABS($H$86)/$C$258,"—")</f>
        <v>0.27987804878048783</v>
      </c>
      <c r="E258" s="3" t="str">
        <f>IF($C$258&lt;=0,"—",IF($D$258&lt;=$E$18/6+0.000001,10*$C$258*(1+3*$D$258/$E$18)*($E$18-$B$13)/(8*$H$18*$F$10),"—"))</f>
        <v>—</v>
      </c>
      <c r="F258" s="5">
        <f>IF($F$86&lt;=0,0,IF(ABS($H$86)/$F$86&lt;=$E$18/6+0.000001,$E$18,3*($E$18/2-ABS($H$86)/$F$86)))</f>
        <v>1.3</v>
      </c>
      <c r="G258" s="13">
        <f>IF($F$86&lt;=0,0,IF(ABS($H$86)/$F$86&lt;=$E$18/6+0.000001,$F$86/($E$18*$F$18)*(1+6*ABS($H$86)/$F$86/$E$18),2*$F$86/($F$18*$F$258)))</f>
        <v>81.300045516613565</v>
      </c>
      <c r="H258" s="3">
        <f>IF($F$86&lt;=0,0,$F$18*($G$258*(($E$18/2-0.35*$B$13)*MIN(($E$18/2-0.35*$B$13),$F$258)-MIN(($E$18/2-0.35*$B$13),$F$258)^2/2)-IF(ABS($H$86)/$F$86&lt;=$E$18/6+0.000001,12*$F$86*ABS($H$86)/$F$86/($F$18*$E$18^3),$G$258/$F$258)*(($E$18/2-0.35*$B$13)*MIN(($E$18/2-0.35*$B$13),$F$258)^2/2-MIN(($E$18/2-0.35*$B$13),$F$258)^3/3)))-1*($E$7*$G$18+$I$7*MAX($G$7-$G$18,0))*$F$18*($E$18/2-0.35*$B$13)^2/2</f>
        <v>7.3766017441966332</v>
      </c>
      <c r="I258" s="14">
        <f>MAX($H$258,0)/($F$18*$H$18^2*$I$10*1000)</f>
        <v>2.7236233965327139E-3</v>
      </c>
      <c r="J258" s="3">
        <f>IF($H$258&lt;=0,0,IF($I$258&gt;=0.5,"μ ≥ 0,5",10*$H$258/($H$18*(1-0.4*1.25*(1-SQRT(1-2*$I$258)))*$F$10)))</f>
        <v>0.53838737175842155</v>
      </c>
      <c r="K258" s="10">
        <f>MAX(N($E$258),N($J$258))</f>
        <v>0.53838737175842155</v>
      </c>
    </row>
    <row r="260" spans="2:11" ht="20.100000000000001" customHeight="1" x14ac:dyDescent="0.25">
      <c r="B260" s="17" t="s">
        <v>193</v>
      </c>
      <c r="C260" s="18"/>
      <c r="D260" s="18"/>
      <c r="E260" s="17" t="s">
        <v>101</v>
      </c>
      <c r="F260" s="18"/>
      <c r="G260" s="18"/>
      <c r="H260" s="18"/>
      <c r="I260" s="17" t="s">
        <v>194</v>
      </c>
      <c r="J260" s="18"/>
      <c r="K260" s="1" t="s">
        <v>49</v>
      </c>
    </row>
    <row r="261" spans="2:11" x14ac:dyDescent="0.25">
      <c r="B261" s="26" t="s">
        <v>195</v>
      </c>
      <c r="C261" s="23"/>
      <c r="D261" s="23"/>
      <c r="E261" s="32" t="s">
        <v>196</v>
      </c>
      <c r="F261" s="21"/>
      <c r="G261" s="21"/>
      <c r="H261" s="21"/>
      <c r="I261" s="20">
        <f>MAX($K$235:$K$258)</f>
        <v>1.509468141905999</v>
      </c>
      <c r="J261" s="21"/>
      <c r="K261" s="6"/>
    </row>
    <row r="262" spans="2:11" x14ac:dyDescent="0.25">
      <c r="B262" s="26" t="s">
        <v>197</v>
      </c>
      <c r="C262" s="23"/>
      <c r="D262" s="23"/>
      <c r="E262" s="32" t="s">
        <v>198</v>
      </c>
      <c r="F262" s="21"/>
      <c r="G262" s="21"/>
      <c r="H262" s="21"/>
      <c r="I262" s="20">
        <f>0.23*$F$18*$H$18*$D$7/$B$7*10000</f>
        <v>5.3842425000000009</v>
      </c>
      <c r="J262" s="21"/>
      <c r="K262" s="6"/>
    </row>
    <row r="263" spans="2:11" x14ac:dyDescent="0.25">
      <c r="B263" s="26" t="s">
        <v>199</v>
      </c>
      <c r="C263" s="23"/>
      <c r="D263" s="23"/>
      <c r="E263" s="32" t="s">
        <v>200</v>
      </c>
      <c r="F263" s="21"/>
      <c r="G263" s="21"/>
      <c r="H263" s="21"/>
      <c r="I263" s="15">
        <f>MAX($I$261,$I$262)</f>
        <v>5.3842425000000009</v>
      </c>
      <c r="J263" s="16"/>
      <c r="K263" s="6"/>
    </row>
    <row r="264" spans="2:11" x14ac:dyDescent="0.25">
      <c r="B264" s="26" t="s">
        <v>201</v>
      </c>
      <c r="C264" s="23"/>
      <c r="D264" s="23"/>
      <c r="E264" s="32" t="s">
        <v>202</v>
      </c>
      <c r="F264" s="21"/>
      <c r="G264" s="21"/>
      <c r="H264" s="21"/>
      <c r="I264" s="37">
        <v>12</v>
      </c>
      <c r="J264" s="38"/>
      <c r="K264" s="6"/>
    </row>
    <row r="265" spans="2:11" x14ac:dyDescent="0.25">
      <c r="B265" s="26" t="s">
        <v>203</v>
      </c>
      <c r="C265" s="23"/>
      <c r="D265" s="23"/>
      <c r="E265" s="32" t="s">
        <v>202</v>
      </c>
      <c r="F265" s="21"/>
      <c r="G265" s="21"/>
      <c r="H265" s="21"/>
      <c r="I265" s="39">
        <v>0.24</v>
      </c>
      <c r="J265" s="38"/>
      <c r="K265" s="6"/>
    </row>
    <row r="266" spans="2:11" x14ac:dyDescent="0.25">
      <c r="B266" s="26" t="s">
        <v>204</v>
      </c>
      <c r="C266" s="23"/>
      <c r="D266" s="23"/>
      <c r="E266" s="32" t="s">
        <v>205</v>
      </c>
      <c r="F266" s="21"/>
      <c r="G266" s="21"/>
      <c r="H266" s="21"/>
      <c r="I266" s="31">
        <f>MAX(CEILING(($F$18-2*$F$7)/$I$265-0.000000001,1)+1,2)</f>
        <v>6</v>
      </c>
      <c r="J266" s="21"/>
      <c r="K266" s="6"/>
    </row>
    <row r="267" spans="2:11" ht="15.75" x14ac:dyDescent="0.25">
      <c r="B267" s="26" t="s">
        <v>206</v>
      </c>
      <c r="C267" s="23"/>
      <c r="D267" s="23"/>
      <c r="E267" s="32" t="s">
        <v>207</v>
      </c>
      <c r="F267" s="21"/>
      <c r="G267" s="21"/>
      <c r="H267" s="21"/>
      <c r="I267" s="15">
        <f>$I$266*PI()*$I$264^2/400</f>
        <v>6.785840131753953</v>
      </c>
      <c r="J267" s="16"/>
      <c r="K267" s="9" t="str">
        <f>IF($I$267&gt;=$I$263-0.0001,"OK","NON OK")</f>
        <v>OK</v>
      </c>
    </row>
    <row r="268" spans="2:11" ht="15.75" x14ac:dyDescent="0.25">
      <c r="B268" s="26" t="s">
        <v>208</v>
      </c>
      <c r="C268" s="23"/>
      <c r="D268" s="23"/>
      <c r="E268" s="32" t="s">
        <v>209</v>
      </c>
      <c r="F268" s="21"/>
      <c r="G268" s="21"/>
      <c r="H268" s="21"/>
      <c r="I268" s="20">
        <f>MIN(2*$G$18,0.25)</f>
        <v>0.25</v>
      </c>
      <c r="J268" s="21"/>
      <c r="K268" s="9" t="str">
        <f>IF($I$265&lt;=$I$268+0.0001,"OK","NON OK")</f>
        <v>OK</v>
      </c>
    </row>
    <row r="269" spans="2:11" x14ac:dyDescent="0.25">
      <c r="B269" s="27" t="s">
        <v>210</v>
      </c>
      <c r="C269" s="18"/>
      <c r="D269" s="18"/>
      <c r="E269" s="40" t="str">
        <f>$I$266&amp;" HA"&amp;$I$264&amp;"  e = "&amp;TEXT($I$265*100,"0")&amp;" cm  (As = "&amp;TEXT($I$267,"0.00")&amp;" cm²)"</f>
        <v>6 HA12  e = 24 cm  (As = 6.79 cm²)</v>
      </c>
      <c r="F269" s="38"/>
      <c r="G269" s="38"/>
      <c r="H269" s="38"/>
      <c r="I269" s="38"/>
      <c r="J269" s="38"/>
      <c r="K269" s="38"/>
    </row>
    <row r="270" spans="2:11" ht="15" customHeight="1" x14ac:dyDescent="0.25">
      <c r="B270" s="24" t="s">
        <v>223</v>
      </c>
      <c r="C270" s="25"/>
      <c r="D270" s="25"/>
      <c r="E270" s="25"/>
      <c r="F270" s="25"/>
      <c r="G270" s="25"/>
      <c r="H270" s="25"/>
      <c r="I270" s="25"/>
      <c r="J270" s="25"/>
      <c r="K270" s="25"/>
    </row>
    <row r="272" spans="2:11" ht="20.100000000000001" customHeight="1" x14ac:dyDescent="0.25">
      <c r="B272" s="19" t="s">
        <v>211</v>
      </c>
      <c r="C272" s="18"/>
      <c r="D272" s="18"/>
      <c r="E272" s="18"/>
      <c r="F272" s="18"/>
      <c r="G272" s="18"/>
      <c r="H272" s="18"/>
      <c r="I272" s="18"/>
      <c r="J272" s="18"/>
      <c r="K272" s="18"/>
    </row>
    <row r="273" spans="2:11" ht="45" customHeight="1" x14ac:dyDescent="0.25">
      <c r="B273" s="24" t="s">
        <v>212</v>
      </c>
      <c r="C273" s="25"/>
      <c r="D273" s="25"/>
      <c r="E273" s="25"/>
      <c r="F273" s="25"/>
      <c r="G273" s="25"/>
      <c r="H273" s="25"/>
      <c r="I273" s="25"/>
      <c r="J273" s="25"/>
      <c r="K273" s="25"/>
    </row>
    <row r="274" spans="2:11" ht="30" customHeight="1" x14ac:dyDescent="0.25">
      <c r="B274" s="1" t="s">
        <v>63</v>
      </c>
      <c r="C274" s="1" t="s">
        <v>167</v>
      </c>
      <c r="D274" s="1" t="s">
        <v>179</v>
      </c>
      <c r="E274" s="1" t="s">
        <v>180</v>
      </c>
      <c r="F274" s="1" t="s">
        <v>181</v>
      </c>
      <c r="G274" s="1" t="s">
        <v>182</v>
      </c>
      <c r="H274" s="1" t="s">
        <v>183</v>
      </c>
      <c r="I274" s="1" t="s">
        <v>184</v>
      </c>
      <c r="J274" s="1" t="s">
        <v>185</v>
      </c>
      <c r="K274" s="1" t="s">
        <v>186</v>
      </c>
    </row>
    <row r="275" spans="2:11" ht="30" customHeight="1" x14ac:dyDescent="0.25">
      <c r="B275" s="2"/>
      <c r="C275" s="2" t="s">
        <v>172</v>
      </c>
      <c r="D275" s="2" t="s">
        <v>187</v>
      </c>
      <c r="E275" s="2" t="s">
        <v>213</v>
      </c>
      <c r="F275" s="2" t="s">
        <v>214</v>
      </c>
      <c r="G275" s="2"/>
      <c r="H275" s="2"/>
      <c r="I275" s="2" t="s">
        <v>190</v>
      </c>
      <c r="J275" s="2" t="s">
        <v>191</v>
      </c>
      <c r="K275" s="2" t="s">
        <v>192</v>
      </c>
    </row>
    <row r="276" spans="2:11" x14ac:dyDescent="0.25">
      <c r="B276" s="7" t="s">
        <v>71</v>
      </c>
      <c r="C276" s="3">
        <f>$G$27+1.35*$J$55</f>
        <v>66.27</v>
      </c>
      <c r="D276" s="5">
        <f>IF($C$276&gt;0,ABS($I$63)/$C$276,"—")</f>
        <v>0.10389316432775011</v>
      </c>
      <c r="E276" s="3">
        <f>IF($C$276&lt;=0,"—",IF($D$276&lt;=$F$18/6+0.000001,10*$C$276*(1+3*$D$276/$F$18)*($F$18-$C$13)/(8*$J$18*$E$10),"—"))</f>
        <v>0.80769384206219297</v>
      </c>
      <c r="F276" s="5">
        <f>IF($F$63&lt;=0,0,IF(ABS($I$63)/$F$63&lt;=$F$18/6+0.000001,$F$18,3*($F$18/2-ABS($I$63)/$F$63)))</f>
        <v>1.3</v>
      </c>
      <c r="G276" s="13">
        <f>IF($F$63&lt;=0,0,IF(ABS($I$63)/$F$63&lt;=$F$18/6+0.000001,$F$63/($F$18*$E$18)*(1+6*ABS($I$63)/$F$63/$F$18),2*$F$63/($E$18*$F$276)))</f>
        <v>95.715279927173412</v>
      </c>
      <c r="H276" s="3">
        <f>IF($F$63&lt;=0,0,$E$18*($G$276*(($F$18/2-0.35*$C$13)*MIN(($F$18/2-0.35*$C$13),$F$276)-MIN(($F$18/2-0.35*$C$13),$F$276)^2/2)-IF(ABS($I$63)/$F$63&lt;=$F$18/6+0.000001,12*$F$63*ABS($I$63)/$F$63/($E$18*$F$18^3),$G$276/$F$276)*(($F$18/2-0.35*$C$13)*MIN(($F$18/2-0.35*$C$13),$F$276)^2/2-MIN(($F$18/2-0.35*$C$13),$F$276)^3/3)))-1.35*($E$7*$G$18+$I$7*MAX($G$7-$G$18,0))*$E$18*($F$18/2-0.35*$C$13)^2/2</f>
        <v>8.5492104439690468</v>
      </c>
      <c r="I276" s="14">
        <f>MAX($H$276,0)/($E$18*$J$18^2*$H$10*1000)</f>
        <v>4.2886754727365145E-3</v>
      </c>
      <c r="J276" s="3">
        <f>IF($H$276&lt;=0,0,IF($I$276&gt;=0.5,"μ ≥ 0,5",10*$H$276/($J$18*(1-0.4*1.25*(1-SQRT(1-2*$I$276)))*$E$10)))</f>
        <v>0.7486903622260892</v>
      </c>
      <c r="K276" s="10">
        <f>MAX(N($E$276),N($J$276))</f>
        <v>0.80769384206219297</v>
      </c>
    </row>
    <row r="277" spans="2:11" x14ac:dyDescent="0.25">
      <c r="B277" s="7" t="s">
        <v>74</v>
      </c>
      <c r="C277" s="3">
        <f>$G$28+1.35*$J$55</f>
        <v>54.27</v>
      </c>
      <c r="D277" s="5">
        <f>IF($C$277&gt;0,ABS($I$64)/$C$277,"—")</f>
        <v>0.12686567164179102</v>
      </c>
      <c r="E277" s="3">
        <f>IF($C$277&lt;=0,"—",IF($D$277&lt;=$F$18/6+0.000001,10*$C$277*(1+3*$D$277/$F$18)*($F$18-$C$13)/(8*$J$18*$E$10),"—"))</f>
        <v>0.68972271744213232</v>
      </c>
      <c r="F277" s="5">
        <f>IF($F$64&lt;=0,0,IF(ABS($I$64)/$F$64&lt;=$F$18/6+0.000001,$F$18,3*($F$18/2-ABS($I$64)/$F$64)))</f>
        <v>1.3</v>
      </c>
      <c r="G277" s="13">
        <f>IF($F$64&lt;=0,0,IF(ABS($I$64)/$F$64&lt;=$F$18/6+0.000001,$F$64/($F$18*$E$18)*(1+6*ABS($I$64)/$F$64/$F$18),2*$F$64/($E$18*$F$277)))</f>
        <v>88.614688211197091</v>
      </c>
      <c r="H277" s="3">
        <f>IF($F$64&lt;=0,0,$E$18*($G$277*(($F$18/2-0.35*$C$13)*MIN(($F$18/2-0.35*$C$13),$F$277)-MIN(($F$18/2-0.35*$C$13),$F$277)^2/2)-IF(ABS($I$64)/$F$64&lt;=$F$18/6+0.000001,12*$F$64*ABS($I$64)/$F$64/($E$18*$F$18^3),$G$277/$F$277)*(($F$18/2-0.35*$C$13)*MIN(($F$18/2-0.35*$C$13),$F$277)^2/2-MIN(($F$18/2-0.35*$C$13),$F$277)^3/3)))-1.35*($E$7*$G$18+$I$7*MAX($G$7-$G$18,0))*$E$18*($F$18/2-0.35*$C$13)^2/2</f>
        <v>7.3487489055075095</v>
      </c>
      <c r="I277" s="14">
        <f>MAX($H$277,0)/($E$18*$J$18^2*$H$10*1000)</f>
        <v>3.6864689894939109E-3</v>
      </c>
      <c r="J277" s="3">
        <f>IF($H$277&lt;=0,0,IF($I$277&gt;=0.5,"μ ≥ 0,5",10*$H$277/($J$18*(1-0.4*1.25*(1-SQRT(1-2*$I$277)))*$E$10)))</f>
        <v>0.6433659741726504</v>
      </c>
      <c r="K277" s="10">
        <f>MAX(N($E$277),N($J$277))</f>
        <v>0.68972271744213232</v>
      </c>
    </row>
    <row r="278" spans="2:11" x14ac:dyDescent="0.25">
      <c r="B278" s="7" t="s">
        <v>75</v>
      </c>
      <c r="C278" s="3">
        <f>$G$29+1.35*$J$55</f>
        <v>9.27</v>
      </c>
      <c r="D278" s="5">
        <f>IF($C$278&gt;0,ABS($I$65)/$C$278,"—")</f>
        <v>1.733009708737864</v>
      </c>
      <c r="E278" s="3" t="str">
        <f>IF($C$278&lt;=0,"—",IF($D$278&lt;=$F$18/6+0.000001,10*$C$278*(1+3*$D$278/$F$18)*($F$18-$C$13)/(8*$J$18*$E$10),"—"))</f>
        <v>—</v>
      </c>
      <c r="F278" s="5">
        <f>IF($F$65&lt;=0,0,IF(ABS($I$65)/$F$65&lt;=$F$18/6+0.000001,$F$18,3*($F$18/2-ABS($I$65)/$F$65)))</f>
        <v>1.2896307851672817</v>
      </c>
      <c r="G278" s="13">
        <f>IF($F$65&lt;=0,0,IF(ABS($I$65)/$F$65&lt;=$F$18/6+0.000001,$F$65/($F$18*$E$18)*(1+6*ABS($I$65)/$F$65/$F$18),2*$F$65/($E$18*$F$278)))</f>
        <v>87.063559156027765</v>
      </c>
      <c r="H278" s="3">
        <f>IF($F$65&lt;=0,0,$E$18*($G$278*(($F$18/2-0.35*$C$13)*MIN(($F$18/2-0.35*$C$13),$F$278)-MIN(($F$18/2-0.35*$C$13),$F$278)^2/2)-IF(ABS($I$65)/$F$65&lt;=$F$18/6+0.000001,12*$F$65*ABS($I$65)/$F$65/($E$18*$F$18^3),$G$278/$F$278)*(($F$18/2-0.35*$C$13)*MIN(($F$18/2-0.35*$C$13),$F$278)^2/2-MIN(($F$18/2-0.35*$C$13),$F$278)^3/3)))-1.35*($E$7*$G$18+$I$7*MAX($G$7-$G$18,0))*$E$18*($F$18/2-0.35*$C$13)^2/2</f>
        <v>5.9775943591070195</v>
      </c>
      <c r="I278" s="14">
        <f>MAX($H$278,0)/($E$18*$J$18^2*$H$10*1000)</f>
        <v>2.9986350765239438E-3</v>
      </c>
      <c r="J278" s="3">
        <f>IF($H$278&lt;=0,0,IF($I$278&gt;=0.5,"μ ≥ 0,5",10*$H$278/($J$18*(1-0.4*1.25*(1-SQRT(1-2*$I$278)))*$E$10)))</f>
        <v>0.52314370775706198</v>
      </c>
      <c r="K278" s="10">
        <f>MAX(N($E$278),N($J$278))</f>
        <v>0.52314370775706198</v>
      </c>
    </row>
    <row r="279" spans="2:11" x14ac:dyDescent="0.25">
      <c r="B279" s="7" t="s">
        <v>76</v>
      </c>
      <c r="C279" s="3">
        <f>$G$30+1.35*$J$55</f>
        <v>54.27</v>
      </c>
      <c r="D279" s="5">
        <f>IF($C$279&gt;0,ABS($I$66)/$C$279,"—")</f>
        <v>0.12686567164179102</v>
      </c>
      <c r="E279" s="3">
        <f>IF($C$279&lt;=0,"—",IF($D$279&lt;=$F$18/6+0.000001,10*$C$279*(1+3*$D$279/$F$18)*($F$18-$C$13)/(8*$J$18*$E$10),"—"))</f>
        <v>0.68972271744213232</v>
      </c>
      <c r="F279" s="5">
        <f>IF($F$66&lt;=0,0,IF(ABS($I$66)/$F$66&lt;=$F$18/6+0.000001,$F$18,3*($F$18/2-ABS($I$66)/$F$66)))</f>
        <v>1.3</v>
      </c>
      <c r="G279" s="13">
        <f>IF($F$66&lt;=0,0,IF(ABS($I$66)/$F$66&lt;=$F$18/6+0.000001,$F$66/($F$18*$E$18)*(1+6*ABS($I$66)/$F$66/$F$18),2*$F$66/($E$18*$F$279)))</f>
        <v>88.614688211197091</v>
      </c>
      <c r="H279" s="3">
        <f>IF($F$66&lt;=0,0,$E$18*($G$279*(($F$18/2-0.35*$C$13)*MIN(($F$18/2-0.35*$C$13),$F$279)-MIN(($F$18/2-0.35*$C$13),$F$279)^2/2)-IF(ABS($I$66)/$F$66&lt;=$F$18/6+0.000001,12*$F$66*ABS($I$66)/$F$66/($E$18*$F$18^3),$G$279/$F$279)*(($F$18/2-0.35*$C$13)*MIN(($F$18/2-0.35*$C$13),$F$279)^2/2-MIN(($F$18/2-0.35*$C$13),$F$279)^3/3)))-1.35*($E$7*$G$18+$I$7*MAX($G$7-$G$18,0))*$E$18*($F$18/2-0.35*$C$13)^2/2</f>
        <v>7.3487489055075095</v>
      </c>
      <c r="I279" s="14">
        <f>MAX($H$279,0)/($E$18*$J$18^2*$H$10*1000)</f>
        <v>3.6864689894939109E-3</v>
      </c>
      <c r="J279" s="3">
        <f>IF($H$279&lt;=0,0,IF($I$279&gt;=0.5,"μ ≥ 0,5",10*$H$279/($J$18*(1-0.4*1.25*(1-SQRT(1-2*$I$279)))*$E$10)))</f>
        <v>0.6433659741726504</v>
      </c>
      <c r="K279" s="10">
        <f>MAX(N($E$279),N($J$279))</f>
        <v>0.68972271744213232</v>
      </c>
    </row>
    <row r="280" spans="2:11" x14ac:dyDescent="0.25">
      <c r="B280" s="7" t="s">
        <v>77</v>
      </c>
      <c r="C280" s="3">
        <f>$G$31+1*$J$55</f>
        <v>-4.8</v>
      </c>
      <c r="D280" s="5" t="str">
        <f>IF($C$280&gt;0,ABS($I$67)/$C$280,"—")</f>
        <v>—</v>
      </c>
      <c r="E280" s="3" t="str">
        <f>IF($C$280&lt;=0,"—",IF($D$280&lt;=$F$18/6+0.000001,10*$C$280*(1+3*$D$280/$F$18)*($F$18-$C$13)/(8*$J$18*$E$10),"—"))</f>
        <v>—</v>
      </c>
      <c r="F280" s="5">
        <f>IF($F$67&lt;=0,0,IF(ABS($I$67)/$F$67&lt;=$F$18/6+0.000001,$F$18,3*($F$18/2-ABS($I$67)/$F$67)))</f>
        <v>0.68684955418219595</v>
      </c>
      <c r="G280" s="13">
        <f>IF($F$67&lt;=0,0,IF(ABS($I$67)/$F$67&lt;=$F$18/6+0.000001,$F$67/($F$18*$E$18)*(1+6*ABS($I$67)/$F$67/$F$18),2*$F$67/($E$18*$F$280)))</f>
        <v>94.957531914241571</v>
      </c>
      <c r="H280" s="3">
        <f>IF($F$67&lt;=0,0,$E$18*($G$280*(($F$18/2-0.35*$C$13)*MIN(($F$18/2-0.35*$C$13),$F$280)-MIN(($F$18/2-0.35*$C$13),$F$280)^2/2)-IF(ABS($I$67)/$F$67&lt;=$F$18/6+0.000001,12*$F$67*ABS($I$67)/$F$67/($E$18*$F$18^3),$G$280/$F$280)*(($F$18/2-0.35*$C$13)*MIN(($F$18/2-0.35*$C$13),$F$280)^2/2-MIN(($F$18/2-0.35*$C$13),$F$280)^3/3)))-1*($E$7*$G$18+$I$7*MAX($G$7-$G$18,0))*$E$18*($F$18/2-0.35*$C$13)^2/2</f>
        <v>7.0423836567480231</v>
      </c>
      <c r="I280" s="14">
        <f>MAX($H$280,0)/($E$18*$J$18^2*$H$10*1000)</f>
        <v>3.5327821506138941E-3</v>
      </c>
      <c r="J280" s="3">
        <f>IF($H$280&lt;=0,0,IF($I$280&gt;=0.5,"μ ≥ 0,5",10*$H$280/($J$18*(1-0.4*1.25*(1-SQRT(1-2*$I$280)))*$E$10)))</f>
        <v>0.61649677143644244</v>
      </c>
      <c r="K280" s="10">
        <f>MAX(N($E$280),N($J$280))</f>
        <v>0.61649677143644244</v>
      </c>
    </row>
    <row r="281" spans="2:11" x14ac:dyDescent="0.25">
      <c r="B281" s="7" t="s">
        <v>78</v>
      </c>
      <c r="C281" s="3">
        <f>$G$32+1*$J$55</f>
        <v>40.200000000000003</v>
      </c>
      <c r="D281" s="5">
        <f>IF($C$281&gt;0,ABS($I$68)/$C$281,"—")</f>
        <v>0.12686567164179102</v>
      </c>
      <c r="E281" s="3">
        <f>IF($C$281&lt;=0,"—",IF($D$281&lt;=$F$18/6+0.000001,10*$C$281*(1+3*$D$281/$F$18)*($F$18-$C$13)/(8*$J$18*$E$10),"—"))</f>
        <v>0.5109057166238018</v>
      </c>
      <c r="F281" s="5">
        <f>IF($F$68&lt;=0,0,IF(ABS($I$68)/$F$68&lt;=$F$18/6+0.000001,$F$18,3*($F$18/2-ABS($I$68)/$F$68)))</f>
        <v>1.3</v>
      </c>
      <c r="G281" s="13">
        <f>IF($F$68&lt;=0,0,IF(ABS($I$68)/$F$68&lt;=$F$18/6+0.000001,$F$68/($F$18*$E$18)*(1+6*ABS($I$68)/$F$68/$F$18),2*$F$68/($E$18*$F$281)))</f>
        <v>65.640509786071917</v>
      </c>
      <c r="H281" s="3">
        <f>IF($F$68&lt;=0,0,$E$18*($G$281*(($F$18/2-0.35*$C$13)*MIN(($F$18/2-0.35*$C$13),$F$281)-MIN(($F$18/2-0.35*$C$13),$F$281)^2/2)-IF(ABS($I$68)/$F$68&lt;=$F$18/6+0.000001,12*$F$68*ABS($I$68)/$F$68/($E$18*$F$18^3),$G$281/$F$281)*(($F$18/2-0.35*$C$13)*MIN(($F$18/2-0.35*$C$13),$F$281)^2/2-MIN(($F$18/2-0.35*$C$13),$F$281)^3/3)))-1*($E$7*$G$18+$I$7*MAX($G$7-$G$18,0))*$E$18*($F$18/2-0.35*$C$13)^2/2</f>
        <v>5.4435177077833421</v>
      </c>
      <c r="I281" s="14">
        <f>MAX($H$281,0)/($E$18*$J$18^2*$H$10*1000)</f>
        <v>2.7307177699954907E-3</v>
      </c>
      <c r="J281" s="3">
        <f>IF($H$281&lt;=0,0,IF($I$281&gt;=0.5,"μ ≥ 0,5",10*$H$281/($J$18*(1-0.4*1.25*(1-SQRT(1-2*$I$281)))*$E$10)))</f>
        <v>0.47633860125363697</v>
      </c>
      <c r="K281" s="10">
        <f>MAX(N($E$281),N($J$281))</f>
        <v>0.5109057166238018</v>
      </c>
    </row>
    <row r="282" spans="2:11" x14ac:dyDescent="0.25">
      <c r="B282" s="7" t="s">
        <v>79</v>
      </c>
      <c r="C282" s="3">
        <f>$G$33+1.35*$J$55</f>
        <v>24.57</v>
      </c>
      <c r="D282" s="5">
        <f>IF($C$282&gt;0,ABS($I$69)/$C$282,"—")</f>
        <v>0.56043956043956045</v>
      </c>
      <c r="E282" s="3" t="str">
        <f>IF($C$282&lt;=0,"—",IF($D$282&lt;=$F$18/6+0.000001,10*$C$282*(1+3*$D$282/$F$18)*($F$18-$C$13)/(8*$J$18*$E$10),"—"))</f>
        <v>—</v>
      </c>
      <c r="F282" s="5">
        <f>IF($F$69&lt;=0,0,IF(ABS($I$69)/$F$69&lt;=$F$18/6+0.000001,$F$18,3*($F$18/2-ABS($I$69)/$F$69)))</f>
        <v>1.3</v>
      </c>
      <c r="G282" s="13">
        <f>IF($F$69&lt;=0,0,IF(ABS($I$69)/$F$69&lt;=$F$18/6+0.000001,$F$69/($F$18*$E$18)*(1+6*ABS($I$69)/$F$69/$F$18),2*$F$69/($E$18*$F$282)))</f>
        <v>89.843636777423754</v>
      </c>
      <c r="H282" s="3">
        <f>IF($F$69&lt;=0,0,$E$18*($G$282*(($F$18/2-0.35*$C$13)*MIN(($F$18/2-0.35*$C$13),$F$282)-MIN(($F$18/2-0.35*$C$13),$F$282)^2/2)-IF(ABS($I$69)/$F$69&lt;=$F$18/6+0.000001,12*$F$69*ABS($I$69)/$F$69/($E$18*$F$18^3),$G$282/$F$282)*(($F$18/2-0.35*$C$13)*MIN(($F$18/2-0.35*$C$13),$F$282)^2/2-MIN(($F$18/2-0.35*$C$13),$F$282)^3/3)))-1.35*($E$7*$G$18+$I$7*MAX($G$7-$G$18,0))*$E$18*($F$18/2-0.35*$C$13)^2/2</f>
        <v>6.7251126879380951</v>
      </c>
      <c r="I282" s="14">
        <f>MAX($H$282,0)/($E$18*$J$18^2*$H$10*1000)</f>
        <v>3.3736245031253634E-3</v>
      </c>
      <c r="J282" s="3">
        <f>IF($H$282&lt;=0,0,IF($I$282&gt;=0.5,"μ ≥ 0,5",10*$H$282/($J$18*(1-0.4*1.25*(1-SQRT(1-2*$I$282)))*$E$10)))</f>
        <v>0.5886754856700066</v>
      </c>
      <c r="K282" s="10">
        <f>MAX(N($E$282),N($J$282))</f>
        <v>0.5886754856700066</v>
      </c>
    </row>
    <row r="283" spans="2:11" x14ac:dyDescent="0.25">
      <c r="B283" s="7" t="s">
        <v>80</v>
      </c>
      <c r="C283" s="3">
        <f>$G$34+1.35*$J$55</f>
        <v>65.069999999999993</v>
      </c>
      <c r="D283" s="5">
        <f>IF($C$283&gt;0,ABS($I$70)/$C$283,"—")</f>
        <v>0.10580912863070541</v>
      </c>
      <c r="E283" s="3">
        <f>IF($C$283&lt;=0,"—",IF($D$283&lt;=$F$18/6+0.000001,10*$C$283*(1+3*$D$283/$F$18)*($F$18-$C$13)/(8*$J$18*$E$10),"—"))</f>
        <v>0.79589672960018698</v>
      </c>
      <c r="F283" s="5">
        <f>IF($F$70&lt;=0,0,IF(ABS($I$70)/$F$70&lt;=$F$18/6+0.000001,$F$18,3*($F$18/2-ABS($I$70)/$F$70)))</f>
        <v>1.3</v>
      </c>
      <c r="G283" s="13">
        <f>IF($F$70&lt;=0,0,IF(ABS($I$70)/$F$70&lt;=$F$18/6+0.000001,$F$70/($F$18*$E$18)*(1+6*ABS($I$70)/$F$70/$F$18),2*$F$70/($E$18*$F$283)))</f>
        <v>95.005220755575778</v>
      </c>
      <c r="H283" s="3">
        <f>IF($F$70&lt;=0,0,$E$18*($G$283*(($F$18/2-0.35*$C$13)*MIN(($F$18/2-0.35*$C$13),$F$283)-MIN(($F$18/2-0.35*$C$13),$F$283)^2/2)-IF(ABS($I$70)/$F$70&lt;=$F$18/6+0.000001,12*$F$70*ABS($I$70)/$F$70/($E$18*$F$18^3),$G$283/$F$283)*(($F$18/2-0.35*$C$13)*MIN(($F$18/2-0.35*$C$13),$F$283)^2/2-MIN(($F$18/2-0.35*$C$13),$F$283)^3/3)))-1.35*($E$7*$G$18+$I$7*MAX($G$7-$G$18,0))*$E$18*($F$18/2-0.35*$C$13)^2/2</f>
        <v>8.4291642901228947</v>
      </c>
      <c r="I283" s="14">
        <f>MAX($H$283,0)/($E$18*$J$18^2*$H$10*1000)</f>
        <v>4.228454824412255E-3</v>
      </c>
      <c r="J283" s="3">
        <f>IF($H$283&lt;=0,0,IF($I$283&gt;=0.5,"μ ≥ 0,5",10*$H$283/($J$18*(1-0.4*1.25*(1-SQRT(1-2*$I$283)))*$E$10)))</f>
        <v>0.73815504555960132</v>
      </c>
      <c r="K283" s="10">
        <f>MAX(N($E$283),N($J$283))</f>
        <v>0.79589672960018698</v>
      </c>
    </row>
    <row r="284" spans="2:11" x14ac:dyDescent="0.25">
      <c r="B284" s="7" t="s">
        <v>81</v>
      </c>
      <c r="C284" s="3">
        <f>$G$35+1.35*$J$55</f>
        <v>13.77</v>
      </c>
      <c r="D284" s="5">
        <f>IF($C$284&gt;0,ABS($I$71)/$C$284,"—")</f>
        <v>1</v>
      </c>
      <c r="E284" s="3" t="str">
        <f>IF($C$284&lt;=0,"—",IF($D$284&lt;=$F$18/6+0.000001,10*$C$284*(1+3*$D$284/$F$18)*($F$18-$C$13)/(8*$J$18*$E$10),"—"))</f>
        <v>—</v>
      </c>
      <c r="F284" s="5">
        <f>IF($F$71&lt;=0,0,IF(ABS($I$71)/$F$71&lt;=$F$18/6+0.000001,$F$18,3*($F$18/2-ABS($I$71)/$F$71)))</f>
        <v>1.3</v>
      </c>
      <c r="G284" s="13">
        <f>IF($F$71&lt;=0,0,IF(ABS($I$71)/$F$71&lt;=$F$18/6+0.000001,$F$71/($F$18*$E$18)*(1+6*ABS($I$71)/$F$71/$F$18),2*$F$71/($E$18*$F$284)))</f>
        <v>83.453104233045053</v>
      </c>
      <c r="H284" s="3">
        <f>IF($F$71&lt;=0,0,$E$18*($G$284*(($F$18/2-0.35*$C$13)*MIN(($F$18/2-0.35*$C$13),$F$284)-MIN(($F$18/2-0.35*$C$13),$F$284)^2/2)-IF(ABS($I$71)/$F$71&lt;=$F$18/6+0.000001,12*$F$71*ABS($I$71)/$F$71/($E$18*$F$18^3),$G$284/$F$284)*(($F$18/2-0.35*$C$13)*MIN(($F$18/2-0.35*$C$13),$F$284)^2/2-MIN(($F$18/2-0.35*$C$13),$F$284)^3/3)))-1.35*($E$7*$G$18+$I$7*MAX($G$7-$G$18,0))*$E$18*($F$18/2-0.35*$C$13)^2/2</f>
        <v>5.6446973033227117</v>
      </c>
      <c r="I284" s="14">
        <f>MAX($H$284,0)/($E$18*$J$18^2*$H$10*1000)</f>
        <v>2.8316386682070201E-3</v>
      </c>
      <c r="J284" s="3">
        <f>IF($H$284&lt;=0,0,IF($I$284&gt;=0.5,"μ ≥ 0,5",10*$H$284/($J$18*(1-0.4*1.25*(1-SQRT(1-2*$I$284)))*$E$10)))</f>
        <v>0.49396798390755819</v>
      </c>
      <c r="K284" s="10">
        <f>MAX(N($E$284),N($J$284))</f>
        <v>0.49396798390755819</v>
      </c>
    </row>
    <row r="285" spans="2:11" x14ac:dyDescent="0.25">
      <c r="B285" s="7" t="s">
        <v>82</v>
      </c>
      <c r="C285" s="3">
        <f>$G$36+1.35*$J$55</f>
        <v>54.27</v>
      </c>
      <c r="D285" s="5">
        <f>IF($C$285&gt;0,ABS($I$72)/$C$285,"—")</f>
        <v>0.12686567164179102</v>
      </c>
      <c r="E285" s="3">
        <f>IF($C$285&lt;=0,"—",IF($D$285&lt;=$F$18/6+0.000001,10*$C$285*(1+3*$D$285/$F$18)*($F$18-$C$13)/(8*$J$18*$E$10),"—"))</f>
        <v>0.68972271744213232</v>
      </c>
      <c r="F285" s="5">
        <f>IF($F$72&lt;=0,0,IF(ABS($I$72)/$F$72&lt;=$F$18/6+0.000001,$F$18,3*($F$18/2-ABS($I$72)/$F$72)))</f>
        <v>1.3</v>
      </c>
      <c r="G285" s="13">
        <f>IF($F$72&lt;=0,0,IF(ABS($I$72)/$F$72&lt;=$F$18/6+0.000001,$F$72/($F$18*$E$18)*(1+6*ABS($I$72)/$F$72/$F$18),2*$F$72/($E$18*$F$285)))</f>
        <v>88.614688211197091</v>
      </c>
      <c r="H285" s="3">
        <f>IF($F$72&lt;=0,0,$E$18*($G$285*(($F$18/2-0.35*$C$13)*MIN(($F$18/2-0.35*$C$13),$F$285)-MIN(($F$18/2-0.35*$C$13),$F$285)^2/2)-IF(ABS($I$72)/$F$72&lt;=$F$18/6+0.000001,12*$F$72*ABS($I$72)/$F$72/($E$18*$F$18^3),$G$285/$F$285)*(($F$18/2-0.35*$C$13)*MIN(($F$18/2-0.35*$C$13),$F$285)^2/2-MIN(($F$18/2-0.35*$C$13),$F$285)^3/3)))-1.35*($E$7*$G$18+$I$7*MAX($G$7-$G$18,0))*$E$18*($F$18/2-0.35*$C$13)^2/2</f>
        <v>7.3487489055075095</v>
      </c>
      <c r="I285" s="14">
        <f>MAX($H$285,0)/($E$18*$J$18^2*$H$10*1000)</f>
        <v>3.6864689894939109E-3</v>
      </c>
      <c r="J285" s="3">
        <f>IF($H$285&lt;=0,0,IF($I$285&gt;=0.5,"μ ≥ 0,5",10*$H$285/($J$18*(1-0.4*1.25*(1-SQRT(1-2*$I$285)))*$E$10)))</f>
        <v>0.6433659741726504</v>
      </c>
      <c r="K285" s="10">
        <f>MAX(N($E$285),N($J$285))</f>
        <v>0.68972271744213232</v>
      </c>
    </row>
    <row r="286" spans="2:11" x14ac:dyDescent="0.25">
      <c r="B286" s="7" t="s">
        <v>83</v>
      </c>
      <c r="C286" s="3">
        <f>$G$37+1*$J$55</f>
        <v>48.2</v>
      </c>
      <c r="D286" s="5">
        <f>IF($C$286&gt;0,ABS($I$73)/$C$286,"—")</f>
        <v>0.10580912863070538</v>
      </c>
      <c r="E286" s="3">
        <f>IF($C$286&lt;=0,"—",IF($D$286&lt;=$F$18/6+0.000001,10*$C$286*(1+3*$D$286/$F$18)*($F$18-$C$13)/(8*$J$18*$G$10),"—"))</f>
        <v>1.0170042756789863</v>
      </c>
      <c r="F286" s="5">
        <f>IF($F$73&lt;=0,0,IF(ABS($I$73)/$F$73&lt;=$F$18/6+0.000001,$F$18,3*($F$18/2-ABS($I$73)/$F$73)))</f>
        <v>1.3</v>
      </c>
      <c r="G286" s="13">
        <f>IF($F$73&lt;=0,0,IF(ABS($I$73)/$F$73&lt;=$F$18/6+0.000001,$F$73/($F$18*$E$18)*(1+6*ABS($I$73)/$F$73/$F$18),2*$F$73/($E$18*$F$286)))</f>
        <v>70.374237596722793</v>
      </c>
      <c r="H286" s="3">
        <f>IF($F$73&lt;=0,0,$E$18*($G$286*(($F$18/2-0.35*$C$13)*MIN(($F$18/2-0.35*$C$13),$F$286)-MIN(($F$18/2-0.35*$C$13),$F$286)^2/2)-IF(ABS($I$73)/$F$73&lt;=$F$18/6+0.000001,12*$F$73*ABS($I$73)/$F$73/($E$18*$F$18^3),$G$286/$F$286)*(($F$18/2-0.35*$C$13)*MIN(($F$18/2-0.35*$C$13),$F$286)^2/2-MIN(($F$18/2-0.35*$C$13),$F$286)^3/3)))-1*($E$7*$G$18+$I$7*MAX($G$7-$G$18,0))*$E$18*($F$18/2-0.35*$C$13)^2/2</f>
        <v>6.2438254000910307</v>
      </c>
      <c r="I286" s="14">
        <f>MAX($H$286,0)/($E$18*$J$18^2*$G$10*1000)</f>
        <v>2.2006616642262304E-4</v>
      </c>
      <c r="J286" s="3">
        <f>IF($H$286&lt;=0,0,10*$H$286/($J$18*(1-(1+2*SQRT((3+90*$I$286)/3)*COS(ACOS((3/(3+90*$I$286))*SQRT(3/(3+90*$I$286)))/3-2*PI()/3))/3)*$G$10))</f>
        <v>0.96668675762317091</v>
      </c>
      <c r="K286" s="10">
        <f>MAX(N($E$286),N($J$286))</f>
        <v>1.0170042756789863</v>
      </c>
    </row>
    <row r="287" spans="2:11" x14ac:dyDescent="0.25">
      <c r="B287" s="7" t="s">
        <v>85</v>
      </c>
      <c r="C287" s="3">
        <f>$G$38+1*$J$55</f>
        <v>40.200000000000003</v>
      </c>
      <c r="D287" s="5">
        <f>IF($C$287&gt;0,ABS($I$74)/$C$287,"—")</f>
        <v>0.12686567164179102</v>
      </c>
      <c r="E287" s="3">
        <f>IF($C$287&lt;=0,"—",IF($D$287&lt;=$F$18/6+0.000001,10*$C$287*(1+3*$D$287/$F$18)*($F$18-$C$13)/(8*$J$18*$G$10),"—"))</f>
        <v>0.88133413115536585</v>
      </c>
      <c r="F287" s="5">
        <f>IF($F$74&lt;=0,0,IF(ABS($I$74)/$F$74&lt;=$F$18/6+0.000001,$F$18,3*($F$18/2-ABS($I$74)/$F$74)))</f>
        <v>1.3</v>
      </c>
      <c r="G287" s="13">
        <f>IF($F$74&lt;=0,0,IF(ABS($I$74)/$F$74&lt;=$F$18/6+0.000001,$F$74/($F$18*$E$18)*(1+6*ABS($I$74)/$F$74/$F$18),2*$F$74/($E$18*$F$287)))</f>
        <v>65.640509786071917</v>
      </c>
      <c r="H287" s="3">
        <f>IF($F$74&lt;=0,0,$E$18*($G$287*(($F$18/2-0.35*$C$13)*MIN(($F$18/2-0.35*$C$13),$F$287)-MIN(($F$18/2-0.35*$C$13),$F$287)^2/2)-IF(ABS($I$74)/$F$74&lt;=$F$18/6+0.000001,12*$F$74*ABS($I$74)/$F$74/($E$18*$F$18^3),$G$287/$F$287)*(($F$18/2-0.35*$C$13)*MIN(($F$18/2-0.35*$C$13),$F$287)^2/2-MIN(($F$18/2-0.35*$C$13),$F$287)^3/3)))-1*($E$7*$G$18+$I$7*MAX($G$7-$G$18,0))*$E$18*($F$18/2-0.35*$C$13)^2/2</f>
        <v>5.4435177077833421</v>
      </c>
      <c r="I287" s="14">
        <f>MAX($H$287,0)/($E$18*$J$18^2*$G$10*1000)</f>
        <v>1.9185899621537773E-4</v>
      </c>
      <c r="J287" s="3">
        <f>IF($H$287&lt;=0,0,10*$H$287/($J$18*(1-(1+2*SQRT((3+90*$I$287)/3)*COS(ACOS((3/(3+90*$I$287))*SQRT(3/(3+90*$I$287)))/3-2*PI()/3))/3)*$G$10))</f>
        <v>0.84131232790309107</v>
      </c>
      <c r="K287" s="10">
        <f>MAX(N($E$287),N($J$287))</f>
        <v>0.88133413115536585</v>
      </c>
    </row>
    <row r="288" spans="2:11" x14ac:dyDescent="0.25">
      <c r="B288" s="7" t="s">
        <v>86</v>
      </c>
      <c r="C288" s="3">
        <f>$G$39+1*$J$55</f>
        <v>10.199999999999999</v>
      </c>
      <c r="D288" s="5">
        <f>IF($C$288&gt;0,ABS($I$75)/$C$288,"—")</f>
        <v>1</v>
      </c>
      <c r="E288" s="3" t="str">
        <f>IF($C$288&lt;=0,"—",IF($D$288&lt;=$F$18/6+0.000001,10*$C$288*(1+3*$D$288/$F$18)*($F$18-$C$13)/(8*$J$18*$G$10),"—"))</f>
        <v>—</v>
      </c>
      <c r="F288" s="5">
        <f>IF($F$75&lt;=0,0,IF(ABS($I$75)/$F$75&lt;=$F$18/6+0.000001,$F$18,3*($F$18/2-ABS($I$75)/$F$75)))</f>
        <v>1.3</v>
      </c>
      <c r="G288" s="13">
        <f>IF($F$75&lt;=0,0,IF(ABS($I$75)/$F$75&lt;=$F$18/6+0.000001,$F$75/($F$18*$E$18)*(1+6*ABS($I$75)/$F$75/$F$18),2*$F$75/($E$18*$F$288)))</f>
        <v>61.817114246700044</v>
      </c>
      <c r="H288" s="3">
        <f>IF($F$75&lt;=0,0,$E$18*($G$288*(($F$18/2-0.35*$C$13)*MIN(($F$18/2-0.35*$C$13),$F$288)-MIN(($F$18/2-0.35*$C$13),$F$288)^2/2)-IF(ABS($I$75)/$F$75&lt;=$F$18/6+0.000001,12*$F$75*ABS($I$75)/$F$75/($E$18*$F$18^3),$G$288/$F$288)*(($F$18/2-0.35*$C$13)*MIN(($F$18/2-0.35*$C$13),$F$288)^2/2-MIN(($F$18/2-0.35*$C$13),$F$288)^3/3)))-1*($E$7*$G$18+$I$7*MAX($G$7-$G$18,0))*$E$18*($F$18/2-0.35*$C$13)^2/2</f>
        <v>4.181257261720531</v>
      </c>
      <c r="I288" s="14">
        <f>MAX($H$288,0)/($E$18*$J$18^2*$G$10*1000)</f>
        <v>1.4737011326424601E-4</v>
      </c>
      <c r="J288" s="3">
        <f>IF($H$288&lt;=0,0,10*$H$288/($J$18*(1-(1+2*SQRT((3+90*$I$288)/3)*COS(ACOS((3/(3+90*$I$288))*SQRT(3/(3+90*$I$288)))/3-2*PI()/3))/3)*$G$10))</f>
        <v>0.64426142278882725</v>
      </c>
      <c r="K288" s="10">
        <f>MAX(N($E$288),N($J$288))</f>
        <v>0.64426142278882725</v>
      </c>
    </row>
    <row r="289" spans="2:11" x14ac:dyDescent="0.25">
      <c r="B289" s="7" t="s">
        <v>87</v>
      </c>
      <c r="C289" s="3">
        <f>$G$40+1*$J$55</f>
        <v>40.200000000000003</v>
      </c>
      <c r="D289" s="5">
        <f>IF($C$289&gt;0,ABS($I$76)/$C$289,"—")</f>
        <v>0.12686567164179102</v>
      </c>
      <c r="E289" s="3">
        <f>IF($C$289&lt;=0,"—",IF($D$289&lt;=$F$18/6+0.000001,10*$C$289*(1+3*$D$289/$F$18)*($F$18-$C$13)/(8*$J$18*$G$10),"—"))</f>
        <v>0.88133413115536585</v>
      </c>
      <c r="F289" s="5">
        <f>IF($F$76&lt;=0,0,IF(ABS($I$76)/$F$76&lt;=$F$18/6+0.000001,$F$18,3*($F$18/2-ABS($I$76)/$F$76)))</f>
        <v>1.3</v>
      </c>
      <c r="G289" s="13">
        <f>IF($F$76&lt;=0,0,IF(ABS($I$76)/$F$76&lt;=$F$18/6+0.000001,$F$76/($F$18*$E$18)*(1+6*ABS($I$76)/$F$76/$F$18),2*$F$76/($E$18*$F$289)))</f>
        <v>65.640509786071917</v>
      </c>
      <c r="H289" s="3">
        <f>IF($F$76&lt;=0,0,$E$18*($G$289*(($F$18/2-0.35*$C$13)*MIN(($F$18/2-0.35*$C$13),$F$289)-MIN(($F$18/2-0.35*$C$13),$F$289)^2/2)-IF(ABS($I$76)/$F$76&lt;=$F$18/6+0.000001,12*$F$76*ABS($I$76)/$F$76/($E$18*$F$18^3),$G$289/$F$289)*(($F$18/2-0.35*$C$13)*MIN(($F$18/2-0.35*$C$13),$F$289)^2/2-MIN(($F$18/2-0.35*$C$13),$F$289)^3/3)))-1*($E$7*$G$18+$I$7*MAX($G$7-$G$18,0))*$E$18*($F$18/2-0.35*$C$13)^2/2</f>
        <v>5.4435177077833421</v>
      </c>
      <c r="I289" s="14">
        <f>MAX($H$289,0)/($E$18*$J$18^2*$G$10*1000)</f>
        <v>1.9185899621537773E-4</v>
      </c>
      <c r="J289" s="3">
        <f>IF($H$289&lt;=0,0,10*$H$289/($J$18*(1-(1+2*SQRT((3+90*$I$289)/3)*COS(ACOS((3/(3+90*$I$289))*SQRT(3/(3+90*$I$289)))/3-2*PI()/3))/3)*$G$10))</f>
        <v>0.84131232790309107</v>
      </c>
      <c r="K289" s="10">
        <f>MAX(N($E$289),N($J$289))</f>
        <v>0.88133413115536585</v>
      </c>
    </row>
    <row r="290" spans="2:11" x14ac:dyDescent="0.25">
      <c r="B290" s="7" t="s">
        <v>88</v>
      </c>
      <c r="C290" s="3">
        <f>$G$41+1*$J$55</f>
        <v>20.399999999999999</v>
      </c>
      <c r="D290" s="5">
        <f>IF($C$290&gt;0,ABS($I$77)/$C$290,"—")</f>
        <v>0.42500000000000004</v>
      </c>
      <c r="E290" s="3" t="str">
        <f>IF($C$290&lt;=0,"—",IF($D$290&lt;=$F$18/6+0.000001,10*$C$290*(1+3*$D$290/$F$18)*($F$18-$C$13)/(8*$J$18*$G$10),"—"))</f>
        <v>—</v>
      </c>
      <c r="F290" s="5">
        <f>IF($F$77&lt;=0,0,IF(ABS($I$77)/$F$77&lt;=$F$18/6+0.000001,$F$18,3*($F$18/2-ABS($I$77)/$F$77)))</f>
        <v>1.3</v>
      </c>
      <c r="G290" s="13">
        <f>IF($F$77&lt;=0,0,IF(ABS($I$77)/$F$77&lt;=$F$18/6+0.000001,$F$77/($F$18*$E$18)*(1+6*ABS($I$77)/$F$77/$F$18),2*$F$77/($E$18*$F$290)))</f>
        <v>63.674192080109243</v>
      </c>
      <c r="H290" s="3">
        <f>IF($F$77&lt;=0,0,$E$18*($G$290*(($F$18/2-0.35*$C$13)*MIN(($F$18/2-0.35*$C$13),$F$290)-MIN(($F$18/2-0.35*$C$13),$F$290)^2/2)-IF(ABS($I$77)/$F$77&lt;=$F$18/6+0.000001,12*$F$77*ABS($I$77)/$F$77/($E$18*$F$18^3),$G$290/$F$290)*(($F$18/2-0.35*$C$13)*MIN(($F$18/2-0.35*$C$13),$F$290)^2/2-MIN(($F$18/2-0.35*$C$13),$F$290)^3/3)))-1*($E$7*$G$18+$I$7*MAX($G$7-$G$18,0))*$E$18*($F$18/2-0.35*$C$13)^2/2</f>
        <v>4.6799815493855261</v>
      </c>
      <c r="I290" s="14">
        <f>MAX($H$290,0)/($E$18*$J$18^2*$G$10*1000)</f>
        <v>1.6494785368067227E-4</v>
      </c>
      <c r="J290" s="3">
        <f>IF($H$290&lt;=0,0,10*$H$290/($J$18*(1-(1+2*SQRT((3+90*$I$290)/3)*COS(ACOS((3/(3+90*$I$290))*SQRT(3/(3+90*$I$290)))/3-2*PI()/3))/3)*$G$10))</f>
        <v>0.72201053543205029</v>
      </c>
      <c r="K290" s="10">
        <f>MAX(N($E$290),N($J$290))</f>
        <v>0.72201053543205029</v>
      </c>
    </row>
    <row r="291" spans="2:11" x14ac:dyDescent="0.25">
      <c r="B291" s="7" t="s">
        <v>89</v>
      </c>
      <c r="C291" s="3">
        <f>$G$42+1*$J$55</f>
        <v>47.400000000000006</v>
      </c>
      <c r="D291" s="5">
        <f>IF($C$291&gt;0,ABS($I$78)/$C$291,"—")</f>
        <v>0.10759493670886074</v>
      </c>
      <c r="E291" s="3">
        <f>IF($C$291&lt;=0,"—",IF($D$291&lt;=$F$18/6+0.000001,10*$C$291*(1+3*$D$291/$F$18)*($F$18-$C$13)/(8*$J$18*$G$10),"—"))</f>
        <v>1.0034372612266242</v>
      </c>
      <c r="F291" s="5">
        <f>IF($F$78&lt;=0,0,IF(ABS($I$78)/$F$78&lt;=$F$18/6+0.000001,$F$18,3*($F$18/2-ABS($I$78)/$F$78)))</f>
        <v>1.3</v>
      </c>
      <c r="G291" s="13">
        <f>IF($F$78&lt;=0,0,IF(ABS($I$78)/$F$78&lt;=$F$18/6+0.000001,$F$78/($F$18*$E$18)*(1+6*ABS($I$78)/$F$78/$F$18),2*$F$78/($E$18*$F$291)))</f>
        <v>69.900864815657712</v>
      </c>
      <c r="H291" s="3">
        <f>IF($F$78&lt;=0,0,$E$18*($G$291*(($F$18/2-0.35*$C$13)*MIN(($F$18/2-0.35*$C$13),$F$291)-MIN(($F$18/2-0.35*$C$13),$F$291)^2/2)-IF(ABS($I$78)/$F$78&lt;=$F$18/6+0.000001,12*$F$78*ABS($I$78)/$F$78/($E$18*$F$18^3),$G$291/$F$291)*(($F$18/2-0.35*$C$13)*MIN(($F$18/2-0.35*$C$13),$F$291)^2/2-MIN(($F$18/2-0.35*$C$13),$F$291)^3/3)))-1*($E$7*$G$18+$I$7*MAX($G$7-$G$18,0))*$E$18*($F$18/2-0.35*$C$13)^2/2</f>
        <v>6.1637946308602638</v>
      </c>
      <c r="I291" s="14">
        <f>MAX($H$291,0)/($E$18*$J$18^2*$G$10*1000)</f>
        <v>2.1724544940189856E-4</v>
      </c>
      <c r="J291" s="3">
        <f>IF($H$291&lt;=0,0,10*$H$291/($J$18*(1-(1+2*SQRT((3+90*$I$291)/3)*COS(ACOS((3/(3+90*$I$291))*SQRT(3/(3+90*$I$291)))/3-2*PI()/3))/3)*$G$10))</f>
        <v>0.95413490805224166</v>
      </c>
      <c r="K291" s="10">
        <f>MAX(N($E$291),N($J$291))</f>
        <v>1.0034372612266242</v>
      </c>
    </row>
    <row r="292" spans="2:11" ht="28.5" x14ac:dyDescent="0.25">
      <c r="B292" s="7" t="s">
        <v>90</v>
      </c>
      <c r="C292" s="3">
        <f>$G$43+1*$J$55</f>
        <v>53.400000000000006</v>
      </c>
      <c r="D292" s="5">
        <f>IF($C$292&gt;0,ABS($I$79)/$C$292,"—")</f>
        <v>9.5505617977528073E-2</v>
      </c>
      <c r="E292" s="3">
        <f>IF($C$292&lt;=0,"—",IF($D$292&lt;=$F$18/6+0.000001,10*$C$292*(1+3*$D$292/$F$18)*($F$18-$C$13)/(8*$J$18*$F$10),"—"))</f>
        <v>0.55710778583119014</v>
      </c>
      <c r="F292" s="5">
        <f>IF($F$79&lt;=0,0,IF(ABS($I$79)/$F$79&lt;=$F$18/6+0.000001,$F$18,3*($F$18/2-ABS($I$79)/$F$79)))</f>
        <v>1.3</v>
      </c>
      <c r="G292" s="13">
        <f>IF($F$79&lt;=0,0,IF(ABS($I$79)/$F$79&lt;=$F$18/6+0.000001,$F$79/($F$18*$E$18)*(1+6*ABS($I$79)/$F$79/$F$18),2*$F$79/($E$18*$F$292)))</f>
        <v>73.451160673645873</v>
      </c>
      <c r="H292" s="3">
        <f>IF($F$79&lt;=0,0,$E$18*($G$292*(($F$18/2-0.35*$C$13)*MIN(($F$18/2-0.35*$C$13),$F$292)-MIN(($F$18/2-0.35*$C$13),$F$292)^2/2)-IF(ABS($I$79)/$F$79&lt;=$F$18/6+0.000001,12*$F$79*ABS($I$79)/$F$79/($E$18*$F$18^3),$G$292/$F$292)*(($F$18/2-0.35*$C$13)*MIN(($F$18/2-0.35*$C$13),$F$292)^2/2-MIN(($F$18/2-0.35*$C$13),$F$292)^3/3)))-1*($E$7*$G$18+$I$7*MAX($G$7-$G$18,0))*$E$18*($F$18/2-0.35*$C$13)^2/2</f>
        <v>6.7640254000910334</v>
      </c>
      <c r="I292" s="14">
        <f>MAX($H$292,0)/($E$18*$J$18^2*$I$10*1000)</f>
        <v>2.7145159212498835E-3</v>
      </c>
      <c r="J292" s="3">
        <f>IF($H$292&lt;=0,0,IF($I$292&gt;=0.5,"μ ≥ 0,5",10*$H$292/($J$18*(1-0.4*1.25*(1-SQRT(1-2*$I$292)))*$F$10)))</f>
        <v>0.51468320159429515</v>
      </c>
      <c r="K292" s="10">
        <f>MAX(N($E$292),N($J$292))</f>
        <v>0.55710778583119014</v>
      </c>
    </row>
    <row r="293" spans="2:11" ht="28.5" x14ac:dyDescent="0.25">
      <c r="B293" s="7" t="s">
        <v>92</v>
      </c>
      <c r="C293" s="3">
        <f>$G$44+1*$J$55</f>
        <v>53.400000000000006</v>
      </c>
      <c r="D293" s="5">
        <f>IF($C$293&gt;0,ABS($I$80)/$C$293,"—")</f>
        <v>9.5505617977528073E-2</v>
      </c>
      <c r="E293" s="3">
        <f>IF($C$293&lt;=0,"—",IF($D$293&lt;=$F$18/6+0.000001,10*$C$293*(1+3*$D$293/$F$18)*($F$18-$C$13)/(8*$J$18*$F$10),"—"))</f>
        <v>0.55710778583119014</v>
      </c>
      <c r="F293" s="5">
        <f>IF($F$80&lt;=0,0,IF(ABS($I$80)/$F$80&lt;=$F$18/6+0.000001,$F$18,3*($F$18/2-ABS($I$80)/$F$80)))</f>
        <v>1.3</v>
      </c>
      <c r="G293" s="13">
        <f>IF($F$80&lt;=0,0,IF(ABS($I$80)/$F$80&lt;=$F$18/6+0.000001,$F$80/($F$18*$E$18)*(1+6*ABS($I$80)/$F$80/$F$18),2*$F$80/($E$18*$F$293)))</f>
        <v>73.451160673645873</v>
      </c>
      <c r="H293" s="3">
        <f>IF($F$80&lt;=0,0,$E$18*($G$293*(($F$18/2-0.35*$C$13)*MIN(($F$18/2-0.35*$C$13),$F$293)-MIN(($F$18/2-0.35*$C$13),$F$293)^2/2)-IF(ABS($I$80)/$F$80&lt;=$F$18/6+0.000001,12*$F$80*ABS($I$80)/$F$80/($E$18*$F$18^3),$G$293/$F$293)*(($F$18/2-0.35*$C$13)*MIN(($F$18/2-0.35*$C$13),$F$293)^2/2-MIN(($F$18/2-0.35*$C$13),$F$293)^3/3)))-1*($E$7*$G$18+$I$7*MAX($G$7-$G$18,0))*$E$18*($F$18/2-0.35*$C$13)^2/2</f>
        <v>6.7640254000910334</v>
      </c>
      <c r="I293" s="14">
        <f>MAX($H$293,0)/($E$18*$J$18^2*$I$10*1000)</f>
        <v>2.7145159212498835E-3</v>
      </c>
      <c r="J293" s="3">
        <f>IF($H$293&lt;=0,0,IF($I$293&gt;=0.5,"μ ≥ 0,5",10*$H$293/($J$18*(1-0.4*1.25*(1-SQRT(1-2*$I$293)))*$F$10)))</f>
        <v>0.51468320159429515</v>
      </c>
      <c r="K293" s="10">
        <f>MAX(N($E$293),N($J$293))</f>
        <v>0.55710778583119014</v>
      </c>
    </row>
    <row r="294" spans="2:11" ht="28.5" x14ac:dyDescent="0.25">
      <c r="B294" s="7" t="s">
        <v>93</v>
      </c>
      <c r="C294" s="3">
        <f>$G$45+1*$J$55</f>
        <v>45.84</v>
      </c>
      <c r="D294" s="5">
        <f>IF($C$294&gt;0,ABS($I$81)/$C$294,"—")</f>
        <v>0.11125654450261778</v>
      </c>
      <c r="E294" s="3">
        <f>IF($C$294&lt;=0,"—",IF($D$294&lt;=$F$18/6+0.000001,10*$C$294*(1+3*$D$294/$F$18)*($F$18-$C$13)/(8*$J$18*$F$10),"—"))</f>
        <v>0.49248012625672194</v>
      </c>
      <c r="F294" s="5">
        <f>IF($F$81&lt;=0,0,IF(ABS($I$81)/$F$81&lt;=$F$18/6+0.000001,$F$18,3*($F$18/2-ABS($I$81)/$F$81)))</f>
        <v>1.3</v>
      </c>
      <c r="G294" s="13">
        <f>IF($F$81&lt;=0,0,IF(ABS($I$81)/$F$81&lt;=$F$18/6+0.000001,$F$81/($F$18*$E$18)*(1+6*ABS($I$81)/$F$81/$F$18),2*$F$81/($E$18*$F$294)))</f>
        <v>68.977787892580793</v>
      </c>
      <c r="H294" s="3">
        <f>IF($F$81&lt;=0,0,$E$18*($G$294*(($F$18/2-0.35*$C$13)*MIN(($F$18/2-0.35*$C$13),$F$294)-MIN(($F$18/2-0.35*$C$13),$F$294)^2/2)-IF(ABS($I$81)/$F$81&lt;=$F$18/6+0.000001,12*$F$81*ABS($I$81)/$F$81/($E$18*$F$18^3),$G$294/$F$294)*(($F$18/2-0.35*$C$13)*MIN(($F$18/2-0.35*$C$13),$F$294)^2/2-MIN(($F$18/2-0.35*$C$13),$F$294)^3/3)))-1*($E$7*$G$18+$I$7*MAX($G$7-$G$18,0))*$E$18*($F$18/2-0.35*$C$13)^2/2</f>
        <v>6.0077346308602637</v>
      </c>
      <c r="I294" s="14">
        <f>MAX($H$294,0)/($E$18*$J$18^2*$I$10*1000)</f>
        <v>2.4110038536956108E-3</v>
      </c>
      <c r="J294" s="3">
        <f>IF($H$294&lt;=0,0,IF($I$294&gt;=0.5,"μ ≥ 0,5",10*$H$294/($J$18*(1-0.4*1.25*(1-SQRT(1-2*$I$294)))*$F$10)))</f>
        <v>0.45706644989630107</v>
      </c>
      <c r="K294" s="10">
        <f>MAX(N($E$294),N($J$294))</f>
        <v>0.49248012625672194</v>
      </c>
    </row>
    <row r="295" spans="2:11" ht="28.5" x14ac:dyDescent="0.25">
      <c r="B295" s="7" t="s">
        <v>94</v>
      </c>
      <c r="C295" s="3">
        <f>$G$46+1*$J$55</f>
        <v>45.84</v>
      </c>
      <c r="D295" s="5">
        <f>IF($C$295&gt;0,ABS($I$82)/$C$295,"—")</f>
        <v>0.11125654450261778</v>
      </c>
      <c r="E295" s="3">
        <f>IF($C$295&lt;=0,"—",IF($D$295&lt;=$F$18/6+0.000001,10*$C$295*(1+3*$D$295/$F$18)*($F$18-$C$13)/(8*$J$18*$F$10),"—"))</f>
        <v>0.49248012625672194</v>
      </c>
      <c r="F295" s="5">
        <f>IF($F$82&lt;=0,0,IF(ABS($I$82)/$F$82&lt;=$F$18/6+0.000001,$F$18,3*($F$18/2-ABS($I$82)/$F$82)))</f>
        <v>1.3</v>
      </c>
      <c r="G295" s="13">
        <f>IF($F$82&lt;=0,0,IF(ABS($I$82)/$F$82&lt;=$F$18/6+0.000001,$F$82/($F$18*$E$18)*(1+6*ABS($I$82)/$F$82/$F$18),2*$F$82/($E$18*$F$295)))</f>
        <v>68.977787892580793</v>
      </c>
      <c r="H295" s="3">
        <f>IF($F$82&lt;=0,0,$E$18*($G$295*(($F$18/2-0.35*$C$13)*MIN(($F$18/2-0.35*$C$13),$F$295)-MIN(($F$18/2-0.35*$C$13),$F$295)^2/2)-IF(ABS($I$82)/$F$82&lt;=$F$18/6+0.000001,12*$F$82*ABS($I$82)/$F$82/($E$18*$F$18^3),$G$295/$F$295)*(($F$18/2-0.35*$C$13)*MIN(($F$18/2-0.35*$C$13),$F$295)^2/2-MIN(($F$18/2-0.35*$C$13),$F$295)^3/3)))-1*($E$7*$G$18+$I$7*MAX($G$7-$G$18,0))*$E$18*($F$18/2-0.35*$C$13)^2/2</f>
        <v>6.0077346308602637</v>
      </c>
      <c r="I295" s="14">
        <f>MAX($H$295,0)/($E$18*$J$18^2*$I$10*1000)</f>
        <v>2.4110038536956108E-3</v>
      </c>
      <c r="J295" s="3">
        <f>IF($H$295&lt;=0,0,IF($I$295&gt;=0.5,"μ ≥ 0,5",10*$H$295/($J$18*(1-0.4*1.25*(1-SQRT(1-2*$I$295)))*$F$10)))</f>
        <v>0.45706644989630107</v>
      </c>
      <c r="K295" s="10">
        <f>MAX(N($E$295),N($J$295))</f>
        <v>0.49248012625672194</v>
      </c>
    </row>
    <row r="296" spans="2:11" ht="28.5" x14ac:dyDescent="0.25">
      <c r="B296" s="7" t="s">
        <v>95</v>
      </c>
      <c r="C296" s="3">
        <f>$G$47+1*$J$55</f>
        <v>31.8</v>
      </c>
      <c r="D296" s="5">
        <f>IF($C$296&gt;0,ABS($I$83)/$C$296,"—")</f>
        <v>0.16037735849056603</v>
      </c>
      <c r="E296" s="3">
        <f>IF($C$296&lt;=0,"—",IF($D$296&lt;=$F$18/6+0.000001,10*$C$296*(1+3*$D$296/$F$18)*($F$18-$C$13)/(8*$J$18*$F$10),"—"))</f>
        <v>0.37245732990413838</v>
      </c>
      <c r="F296" s="5">
        <f>IF($F$83&lt;=0,0,IF(ABS($I$83)/$F$83&lt;=$F$18/6+0.000001,$F$18,3*($F$18/2-ABS($I$83)/$F$83)))</f>
        <v>1.3</v>
      </c>
      <c r="G296" s="13">
        <f>IF($F$83&lt;=0,0,IF(ABS($I$83)/$F$83&lt;=$F$18/6+0.000001,$F$83/($F$18*$E$18)*(1+6*ABS($I$83)/$F$83/$F$18),2*$F$83/($E$18*$F$296)))</f>
        <v>60.670095584888472</v>
      </c>
      <c r="H296" s="3">
        <f>IF($F$83&lt;=0,0,$E$18*($G$296*(($F$18/2-0.35*$C$13)*MIN(($F$18/2-0.35*$C$13),$F$296)-MIN(($F$18/2-0.35*$C$13),$F$296)^2/2)-IF(ABS($I$83)/$F$83&lt;=$F$18/6+0.000001,12*$F$83*ABS($I$83)/$F$83/($E$18*$F$18^3),$G$296/$F$296)*(($F$18/2-0.35*$C$13)*MIN(($F$18/2-0.35*$C$13),$F$296)^2/2-MIN(($F$18/2-0.35*$C$13),$F$296)^3/3)))-1*($E$7*$G$18+$I$7*MAX($G$7-$G$18,0))*$E$18*($F$18/2-0.35*$C$13)^2/2</f>
        <v>4.6031946308602629</v>
      </c>
      <c r="I296" s="14">
        <f>MAX($H$296,0)/($E$18*$J$18^2*$I$10*1000)</f>
        <v>1.8473385853805331E-3</v>
      </c>
      <c r="J296" s="3">
        <f>IF($H$296&lt;=0,0,IF($I$296&gt;=0.5,"μ ≥ 0,5",10*$H$296/($J$18*(1-0.4*1.25*(1-SQRT(1-2*$I$296)))*$F$10)))</f>
        <v>0.35011051163696139</v>
      </c>
      <c r="K296" s="10">
        <f>MAX(N($E$296),N($J$296))</f>
        <v>0.37245732990413838</v>
      </c>
    </row>
    <row r="297" spans="2:11" ht="28.5" x14ac:dyDescent="0.25">
      <c r="B297" s="7" t="s">
        <v>96</v>
      </c>
      <c r="C297" s="3">
        <f>$G$48+1*$J$55</f>
        <v>31.8</v>
      </c>
      <c r="D297" s="5">
        <f>IF($C$297&gt;0,ABS($I$84)/$C$297,"—")</f>
        <v>0.16037735849056603</v>
      </c>
      <c r="E297" s="3">
        <f>IF($C$297&lt;=0,"—",IF($D$297&lt;=$F$18/6+0.000001,10*$C$297*(1+3*$D$297/$F$18)*($F$18-$C$13)/(8*$J$18*$F$10),"—"))</f>
        <v>0.37245732990413838</v>
      </c>
      <c r="F297" s="5">
        <f>IF($F$84&lt;=0,0,IF(ABS($I$84)/$F$84&lt;=$F$18/6+0.000001,$F$18,3*($F$18/2-ABS($I$84)/$F$84)))</f>
        <v>1.3</v>
      </c>
      <c r="G297" s="13">
        <f>IF($F$84&lt;=0,0,IF(ABS($I$84)/$F$84&lt;=$F$18/6+0.000001,$F$84/($F$18*$E$18)*(1+6*ABS($I$84)/$F$84/$F$18),2*$F$84/($E$18*$F$297)))</f>
        <v>60.670095584888472</v>
      </c>
      <c r="H297" s="3">
        <f>IF($F$84&lt;=0,0,$E$18*($G$297*(($F$18/2-0.35*$C$13)*MIN(($F$18/2-0.35*$C$13),$F$297)-MIN(($F$18/2-0.35*$C$13),$F$297)^2/2)-IF(ABS($I$84)/$F$84&lt;=$F$18/6+0.000001,12*$F$84*ABS($I$84)/$F$84/($E$18*$F$18^3),$G$297/$F$297)*(($F$18/2-0.35*$C$13)*MIN(($F$18/2-0.35*$C$13),$F$297)^2/2-MIN(($F$18/2-0.35*$C$13),$F$297)^3/3)))-1*($E$7*$G$18+$I$7*MAX($G$7-$G$18,0))*$E$18*($F$18/2-0.35*$C$13)^2/2</f>
        <v>4.6031946308602629</v>
      </c>
      <c r="I297" s="14">
        <f>MAX($H$297,0)/($E$18*$J$18^2*$I$10*1000)</f>
        <v>1.8473385853805331E-3</v>
      </c>
      <c r="J297" s="3">
        <f>IF($H$297&lt;=0,0,IF($I$297&gt;=0.5,"μ ≥ 0,5",10*$H$297/($J$18*(1-0.4*1.25*(1-SQRT(1-2*$I$297)))*$F$10)))</f>
        <v>0.35011051163696139</v>
      </c>
      <c r="K297" s="10">
        <f>MAX(N($E$297),N($J$297))</f>
        <v>0.37245732990413838</v>
      </c>
    </row>
    <row r="298" spans="2:11" ht="28.5" x14ac:dyDescent="0.25">
      <c r="B298" s="7" t="s">
        <v>97</v>
      </c>
      <c r="C298" s="3">
        <f>$G$49+1*$J$55</f>
        <v>39.36</v>
      </c>
      <c r="D298" s="5">
        <f>IF($C$298&gt;0,ABS($I$85)/$C$298,"—")</f>
        <v>0.12957317073170732</v>
      </c>
      <c r="E298" s="3">
        <f>IF($C$298&lt;=0,"—",IF($D$298&lt;=$F$18/6+0.000001,10*$C$298*(1+3*$D$298/$F$18)*($F$18-$C$13)/(8*$J$18*$F$10),"—"))</f>
        <v>0.43708498947860652</v>
      </c>
      <c r="F298" s="5">
        <f>IF($F$85&lt;=0,0,IF(ABS($I$85)/$F$85&lt;=$F$18/6+0.000001,$F$18,3*($F$18/2-ABS($I$85)/$F$85)))</f>
        <v>1.3</v>
      </c>
      <c r="G298" s="13">
        <f>IF($F$85&lt;=0,0,IF(ABS($I$85)/$F$85&lt;=$F$18/6+0.000001,$F$85/($F$18*$E$18)*(1+6*ABS($I$85)/$F$85/$F$18),2*$F$85/($E$18*$F$298)))</f>
        <v>65.143468365953566</v>
      </c>
      <c r="H298" s="3">
        <f>IF($F$85&lt;=0,0,$E$18*($G$298*(($F$18/2-0.35*$C$13)*MIN(($F$18/2-0.35*$C$13),$F$298)-MIN(($F$18/2-0.35*$C$13),$F$298)^2/2)-IF(ABS($I$85)/$F$85&lt;=$F$18/6+0.000001,12*$F$85*ABS($I$85)/$F$85/($E$18*$F$18^3),$G$298/$F$298)*(($F$18/2-0.35*$C$13)*MIN(($F$18/2-0.35*$C$13),$F$298)^2/2-MIN(($F$18/2-0.35*$C$13),$F$298)^3/3)))-1*($E$7*$G$18+$I$7*MAX($G$7-$G$18,0))*$E$18*($F$18/2-0.35*$C$13)^2/2</f>
        <v>5.3594854000910326</v>
      </c>
      <c r="I298" s="14">
        <f>MAX($H$298,0)/($E$18*$J$18^2*$I$10*1000)</f>
        <v>2.1508506529348058E-3</v>
      </c>
      <c r="J298" s="3">
        <f>IF($H$298&lt;=0,0,IF($I$298&gt;=0.5,"μ ≥ 0,5",10*$H$298/($J$18*(1-0.4*1.25*(1-SQRT(1-2*$I$298)))*$F$10)))</f>
        <v>0.4076946471711439</v>
      </c>
      <c r="K298" s="10">
        <f>MAX(N($E$298),N($J$298))</f>
        <v>0.43708498947860652</v>
      </c>
    </row>
    <row r="299" spans="2:11" ht="28.5" x14ac:dyDescent="0.25">
      <c r="B299" s="7" t="s">
        <v>98</v>
      </c>
      <c r="C299" s="3">
        <f>$G$50+1*$J$55</f>
        <v>39.36</v>
      </c>
      <c r="D299" s="5">
        <f>IF($C$299&gt;0,ABS($I$86)/$C$299,"—")</f>
        <v>0.12957317073170732</v>
      </c>
      <c r="E299" s="3">
        <f>IF($C$299&lt;=0,"—",IF($D$299&lt;=$F$18/6+0.000001,10*$C$299*(1+3*$D$299/$F$18)*($F$18-$C$13)/(8*$J$18*$F$10),"—"))</f>
        <v>0.43708498947860652</v>
      </c>
      <c r="F299" s="5">
        <f>IF($F$86&lt;=0,0,IF(ABS($I$86)/$F$86&lt;=$F$18/6+0.000001,$F$18,3*($F$18/2-ABS($I$86)/$F$86)))</f>
        <v>1.3</v>
      </c>
      <c r="G299" s="13">
        <f>IF($F$86&lt;=0,0,IF(ABS($I$86)/$F$86&lt;=$F$18/6+0.000001,$F$86/($F$18*$E$18)*(1+6*ABS($I$86)/$F$86/$F$18),2*$F$86/($E$18*$F$299)))</f>
        <v>65.143468365953566</v>
      </c>
      <c r="H299" s="3">
        <f>IF($F$86&lt;=0,0,$E$18*($G$299*(($F$18/2-0.35*$C$13)*MIN(($F$18/2-0.35*$C$13),$F$299)-MIN(($F$18/2-0.35*$C$13),$F$299)^2/2)-IF(ABS($I$86)/$F$86&lt;=$F$18/6+0.000001,12*$F$86*ABS($I$86)/$F$86/($E$18*$F$18^3),$G$299/$F$299)*(($F$18/2-0.35*$C$13)*MIN(($F$18/2-0.35*$C$13),$F$299)^2/2-MIN(($F$18/2-0.35*$C$13),$F$299)^3/3)))-1*($E$7*$G$18+$I$7*MAX($G$7-$G$18,0))*$E$18*($F$18/2-0.35*$C$13)^2/2</f>
        <v>5.3594854000910326</v>
      </c>
      <c r="I299" s="14">
        <f>MAX($H$299,0)/($E$18*$J$18^2*$I$10*1000)</f>
        <v>2.1508506529348058E-3</v>
      </c>
      <c r="J299" s="3">
        <f>IF($H$299&lt;=0,0,IF($I$299&gt;=0.5,"μ ≥ 0,5",10*$H$299/($J$18*(1-0.4*1.25*(1-SQRT(1-2*$I$299)))*$F$10)))</f>
        <v>0.4076946471711439</v>
      </c>
      <c r="K299" s="10">
        <f>MAX(N($E$299),N($J$299))</f>
        <v>0.43708498947860652</v>
      </c>
    </row>
    <row r="301" spans="2:11" ht="20.100000000000001" customHeight="1" x14ac:dyDescent="0.25">
      <c r="B301" s="17" t="s">
        <v>193</v>
      </c>
      <c r="C301" s="18"/>
      <c r="D301" s="18"/>
      <c r="E301" s="17" t="s">
        <v>101</v>
      </c>
      <c r="F301" s="18"/>
      <c r="G301" s="18"/>
      <c r="H301" s="18"/>
      <c r="I301" s="17" t="s">
        <v>194</v>
      </c>
      <c r="J301" s="18"/>
      <c r="K301" s="1" t="s">
        <v>49</v>
      </c>
    </row>
    <row r="302" spans="2:11" x14ac:dyDescent="0.25">
      <c r="B302" s="26" t="s">
        <v>195</v>
      </c>
      <c r="C302" s="23"/>
      <c r="D302" s="23"/>
      <c r="E302" s="32" t="s">
        <v>196</v>
      </c>
      <c r="F302" s="21"/>
      <c r="G302" s="21"/>
      <c r="H302" s="21"/>
      <c r="I302" s="20">
        <f>MAX($K$276:$K$299)</f>
        <v>1.0170042756789863</v>
      </c>
      <c r="J302" s="21"/>
      <c r="K302" s="6"/>
    </row>
    <row r="303" spans="2:11" x14ac:dyDescent="0.25">
      <c r="B303" s="26" t="s">
        <v>197</v>
      </c>
      <c r="C303" s="23"/>
      <c r="D303" s="23"/>
      <c r="E303" s="32" t="s">
        <v>215</v>
      </c>
      <c r="F303" s="21"/>
      <c r="G303" s="21"/>
      <c r="H303" s="21"/>
      <c r="I303" s="20">
        <f>0.23*$E$18*$J$18*$D$7/$B$7*10000</f>
        <v>5.1644775000000012</v>
      </c>
      <c r="J303" s="21"/>
      <c r="K303" s="6"/>
    </row>
    <row r="304" spans="2:11" x14ac:dyDescent="0.25">
      <c r="B304" s="26" t="s">
        <v>199</v>
      </c>
      <c r="C304" s="23"/>
      <c r="D304" s="23"/>
      <c r="E304" s="32" t="s">
        <v>200</v>
      </c>
      <c r="F304" s="21"/>
      <c r="G304" s="21"/>
      <c r="H304" s="21"/>
      <c r="I304" s="15">
        <f>MAX($I$302,$I$303)</f>
        <v>5.1644775000000012</v>
      </c>
      <c r="J304" s="16"/>
      <c r="K304" s="6"/>
    </row>
    <row r="305" spans="2:11" x14ac:dyDescent="0.25">
      <c r="B305" s="26" t="s">
        <v>201</v>
      </c>
      <c r="C305" s="23"/>
      <c r="D305" s="23"/>
      <c r="E305" s="32" t="s">
        <v>202</v>
      </c>
      <c r="F305" s="21"/>
      <c r="G305" s="21"/>
      <c r="H305" s="21"/>
      <c r="I305" s="37">
        <v>12</v>
      </c>
      <c r="J305" s="38"/>
      <c r="K305" s="6"/>
    </row>
    <row r="306" spans="2:11" x14ac:dyDescent="0.25">
      <c r="B306" s="26" t="s">
        <v>203</v>
      </c>
      <c r="C306" s="23"/>
      <c r="D306" s="23"/>
      <c r="E306" s="32" t="s">
        <v>202</v>
      </c>
      <c r="F306" s="21"/>
      <c r="G306" s="21"/>
      <c r="H306" s="21"/>
      <c r="I306" s="39">
        <v>0.24</v>
      </c>
      <c r="J306" s="38"/>
      <c r="K306" s="6"/>
    </row>
    <row r="307" spans="2:11" x14ac:dyDescent="0.25">
      <c r="B307" s="26" t="s">
        <v>204</v>
      </c>
      <c r="C307" s="23"/>
      <c r="D307" s="23"/>
      <c r="E307" s="32" t="s">
        <v>216</v>
      </c>
      <c r="F307" s="21"/>
      <c r="G307" s="21"/>
      <c r="H307" s="21"/>
      <c r="I307" s="31">
        <f>MAX(CEILING(($E$18-2*$F$7)/$I$306-0.000000001,1)+1,2)</f>
        <v>6</v>
      </c>
      <c r="J307" s="21"/>
      <c r="K307" s="6"/>
    </row>
    <row r="308" spans="2:11" ht="15.75" x14ac:dyDescent="0.25">
      <c r="B308" s="26" t="s">
        <v>206</v>
      </c>
      <c r="C308" s="23"/>
      <c r="D308" s="23"/>
      <c r="E308" s="32" t="s">
        <v>207</v>
      </c>
      <c r="F308" s="21"/>
      <c r="G308" s="21"/>
      <c r="H308" s="21"/>
      <c r="I308" s="15">
        <f>$I$307*PI()*$I$305^2/400</f>
        <v>6.785840131753953</v>
      </c>
      <c r="J308" s="16"/>
      <c r="K308" s="9" t="str">
        <f>IF($I$308&gt;=$I$304-0.0001,"OK","NON OK")</f>
        <v>OK</v>
      </c>
    </row>
    <row r="309" spans="2:11" ht="15.75" x14ac:dyDescent="0.25">
      <c r="B309" s="26" t="s">
        <v>208</v>
      </c>
      <c r="C309" s="23"/>
      <c r="D309" s="23"/>
      <c r="E309" s="32" t="s">
        <v>209</v>
      </c>
      <c r="F309" s="21"/>
      <c r="G309" s="21"/>
      <c r="H309" s="21"/>
      <c r="I309" s="20">
        <f>MIN(2*$G$18,0.25)</f>
        <v>0.25</v>
      </c>
      <c r="J309" s="21"/>
      <c r="K309" s="9" t="str">
        <f>IF($I$306&lt;=$I$309+0.0001,"OK","NON OK")</f>
        <v>OK</v>
      </c>
    </row>
    <row r="310" spans="2:11" x14ac:dyDescent="0.25">
      <c r="B310" s="27" t="s">
        <v>217</v>
      </c>
      <c r="C310" s="18"/>
      <c r="D310" s="18"/>
      <c r="E310" s="40" t="str">
        <f>$I$307&amp;" HA"&amp;$I$305&amp;"  e = "&amp;TEXT($I$306*100,"0")&amp;" cm  (As = "&amp;TEXT($I$308,"0.00")&amp;" cm²)"</f>
        <v>6 HA12  e = 24 cm  (As = 6.79 cm²)</v>
      </c>
      <c r="F310" s="38"/>
      <c r="G310" s="38"/>
      <c r="H310" s="38"/>
      <c r="I310" s="38"/>
      <c r="J310" s="38"/>
      <c r="K310" s="38"/>
    </row>
    <row r="312" spans="2:11" ht="30" customHeight="1" x14ac:dyDescent="0.25">
      <c r="B312" s="19" t="s">
        <v>219</v>
      </c>
      <c r="C312" s="18"/>
      <c r="D312" s="18"/>
      <c r="E312" s="40" t="str">
        <f>IF(COUNTIF($B$4:$K$311,"NON OK")=0,"SEMELLE VÉRIFIÉE","SEMELLE NON VÉRIFIÉE")&amp;" : A × B × H = "&amp;TEXT($E$18,"0.00")&amp;" × "&amp;TEXT($F$18,"0.00")&amp;" × "&amp;TEXT($G$18,"0.00")&amp;" m ; // A : "&amp;$I$266&amp;" HA"&amp;$I$264&amp;" e = "&amp;TEXT($I$265*100,"0")&amp;" cm"&amp;" ; // B : "&amp;$I$307&amp;" HA"&amp;$I$305&amp;" e = "&amp;TEXT($I$306*100,"0")&amp;" cm"</f>
        <v>SEMELLE VÉRIFIÉE : A × B × H = 1.30 × 1.30 × 0.40 m ; // A : 6 HA12 e = 24 cm ; // B : 6 HA12 e = 24 cm</v>
      </c>
      <c r="F312" s="38"/>
      <c r="G312" s="38"/>
      <c r="H312" s="38"/>
      <c r="I312" s="38"/>
      <c r="J312" s="38"/>
      <c r="K312" s="38"/>
    </row>
  </sheetData>
  <mergeCells count="307">
    <mergeCell ref="B312:D312"/>
    <mergeCell ref="I264:J264"/>
    <mergeCell ref="F159:G159"/>
    <mergeCell ref="B55:D55"/>
    <mergeCell ref="B169:D169"/>
    <mergeCell ref="J54:K54"/>
    <mergeCell ref="J56:K56"/>
    <mergeCell ref="B192:C192"/>
    <mergeCell ref="B71:D71"/>
    <mergeCell ref="B307:D307"/>
    <mergeCell ref="B223:D223"/>
    <mergeCell ref="I309:J309"/>
    <mergeCell ref="B75:D75"/>
    <mergeCell ref="J22:K22"/>
    <mergeCell ref="F152:G152"/>
    <mergeCell ref="B31:D31"/>
    <mergeCell ref="E54:I54"/>
    <mergeCell ref="D23:E23"/>
    <mergeCell ref="B39:D39"/>
    <mergeCell ref="E56:I56"/>
    <mergeCell ref="B185:C185"/>
    <mergeCell ref="B226:D226"/>
    <mergeCell ref="B49:D49"/>
    <mergeCell ref="B65:D65"/>
    <mergeCell ref="F163:G163"/>
    <mergeCell ref="B222:D222"/>
    <mergeCell ref="B63:D63"/>
    <mergeCell ref="F165:G165"/>
    <mergeCell ref="B50:D50"/>
    <mergeCell ref="B221:D221"/>
    <mergeCell ref="B117:K117"/>
    <mergeCell ref="F77:G77"/>
    <mergeCell ref="F166:G166"/>
    <mergeCell ref="B198:C198"/>
    <mergeCell ref="I261:J261"/>
    <mergeCell ref="I304:J304"/>
    <mergeCell ref="F63:G63"/>
    <mergeCell ref="F74:G74"/>
    <mergeCell ref="B171:D171"/>
    <mergeCell ref="B180:C180"/>
    <mergeCell ref="I306:J306"/>
    <mergeCell ref="E264:H264"/>
    <mergeCell ref="F76:G76"/>
    <mergeCell ref="B59:K59"/>
    <mergeCell ref="B207:D207"/>
    <mergeCell ref="B196:C196"/>
    <mergeCell ref="F150:G150"/>
    <mergeCell ref="B186:C186"/>
    <mergeCell ref="B173:D173"/>
    <mergeCell ref="B202:C202"/>
    <mergeCell ref="B28:D28"/>
    <mergeCell ref="F86:G86"/>
    <mergeCell ref="F80:G80"/>
    <mergeCell ref="I301:J301"/>
    <mergeCell ref="B30:D30"/>
    <mergeCell ref="F79:G79"/>
    <mergeCell ref="B182:C182"/>
    <mergeCell ref="B265:D265"/>
    <mergeCell ref="F81:G81"/>
    <mergeCell ref="B54:D54"/>
    <mergeCell ref="B183:C183"/>
    <mergeCell ref="B177:C177"/>
    <mergeCell ref="B175:K175"/>
    <mergeCell ref="E261:H261"/>
    <mergeCell ref="B56:D56"/>
    <mergeCell ref="B43:D43"/>
    <mergeCell ref="B36:D36"/>
    <mergeCell ref="E310:K310"/>
    <mergeCell ref="B220:D220"/>
    <mergeCell ref="E304:H304"/>
    <mergeCell ref="B86:D86"/>
    <mergeCell ref="B262:D262"/>
    <mergeCell ref="B151:D151"/>
    <mergeCell ref="E306:H306"/>
    <mergeCell ref="F78:G78"/>
    <mergeCell ref="F65:G65"/>
    <mergeCell ref="B89:K89"/>
    <mergeCell ref="E206:F206"/>
    <mergeCell ref="F169:G169"/>
    <mergeCell ref="E309:H309"/>
    <mergeCell ref="B79:D79"/>
    <mergeCell ref="B302:D302"/>
    <mergeCell ref="I303:J303"/>
    <mergeCell ref="B81:D81"/>
    <mergeCell ref="G208:H208"/>
    <mergeCell ref="B170:D170"/>
    <mergeCell ref="F68:G68"/>
    <mergeCell ref="B157:D157"/>
    <mergeCell ref="B193:C193"/>
    <mergeCell ref="F84:G84"/>
    <mergeCell ref="B172:D172"/>
    <mergeCell ref="B78:D78"/>
    <mergeCell ref="B184:C184"/>
    <mergeCell ref="E301:H301"/>
    <mergeCell ref="H21:I21"/>
    <mergeCell ref="E269:K269"/>
    <mergeCell ref="H16:I16"/>
    <mergeCell ref="B154:D154"/>
    <mergeCell ref="J16:K16"/>
    <mergeCell ref="E265:H265"/>
    <mergeCell ref="B156:D156"/>
    <mergeCell ref="B155:D155"/>
    <mergeCell ref="B149:D149"/>
    <mergeCell ref="B38:D38"/>
    <mergeCell ref="B40:D40"/>
    <mergeCell ref="B33:D33"/>
    <mergeCell ref="H18:I18"/>
    <mergeCell ref="J18:K18"/>
    <mergeCell ref="J17:K17"/>
    <mergeCell ref="B22:C22"/>
    <mergeCell ref="J19:K19"/>
    <mergeCell ref="D22:E22"/>
    <mergeCell ref="B20:K20"/>
    <mergeCell ref="B34:D34"/>
    <mergeCell ref="E268:H268"/>
    <mergeCell ref="E312:K312"/>
    <mergeCell ref="B160:D160"/>
    <mergeCell ref="B306:D306"/>
    <mergeCell ref="B62:D62"/>
    <mergeCell ref="B210:K210"/>
    <mergeCell ref="B227:D227"/>
    <mergeCell ref="E308:H308"/>
    <mergeCell ref="B72:D72"/>
    <mergeCell ref="F170:G170"/>
    <mergeCell ref="B70:D70"/>
    <mergeCell ref="B228:D228"/>
    <mergeCell ref="F171:G171"/>
    <mergeCell ref="B82:D82"/>
    <mergeCell ref="B217:D217"/>
    <mergeCell ref="B304:D304"/>
    <mergeCell ref="I305:J305"/>
    <mergeCell ref="I268:J268"/>
    <mergeCell ref="E263:H263"/>
    <mergeCell ref="B83:D83"/>
    <mergeCell ref="B232:K232"/>
    <mergeCell ref="E303:H303"/>
    <mergeCell ref="F75:G75"/>
    <mergeCell ref="F62:G62"/>
    <mergeCell ref="B85:D85"/>
    <mergeCell ref="E307:H307"/>
    <mergeCell ref="B64:D64"/>
    <mergeCell ref="E207:F207"/>
    <mergeCell ref="B52:K52"/>
    <mergeCell ref="G207:H207"/>
    <mergeCell ref="B2:K2"/>
    <mergeCell ref="B16:D16"/>
    <mergeCell ref="B60:K60"/>
    <mergeCell ref="B231:K231"/>
    <mergeCell ref="B201:C201"/>
    <mergeCell ref="B301:D301"/>
    <mergeCell ref="I265:J265"/>
    <mergeCell ref="I262:J262"/>
    <mergeCell ref="B214:D214"/>
    <mergeCell ref="B18:D18"/>
    <mergeCell ref="E53:I53"/>
    <mergeCell ref="B303:D303"/>
    <mergeCell ref="F157:G157"/>
    <mergeCell ref="F172:G172"/>
    <mergeCell ref="I266:J266"/>
    <mergeCell ref="B57:D57"/>
    <mergeCell ref="E55:I55"/>
    <mergeCell ref="I260:J260"/>
    <mergeCell ref="B21:C21"/>
    <mergeCell ref="I308:J308"/>
    <mergeCell ref="E266:H266"/>
    <mergeCell ref="E260:H260"/>
    <mergeCell ref="B48:D48"/>
    <mergeCell ref="B194:C194"/>
    <mergeCell ref="B211:D211"/>
    <mergeCell ref="F154:G154"/>
    <mergeCell ref="B164:D164"/>
    <mergeCell ref="I263:J263"/>
    <mergeCell ref="F156:G156"/>
    <mergeCell ref="B212:D212"/>
    <mergeCell ref="B206:D206"/>
    <mergeCell ref="F155:G155"/>
    <mergeCell ref="F149:G149"/>
    <mergeCell ref="B187:C187"/>
    <mergeCell ref="B66:D66"/>
    <mergeCell ref="F151:G151"/>
    <mergeCell ref="B189:C189"/>
    <mergeCell ref="B188:C188"/>
    <mergeCell ref="B205:K205"/>
    <mergeCell ref="B118:K118"/>
    <mergeCell ref="B67:D67"/>
    <mergeCell ref="B61:D61"/>
    <mergeCell ref="B190:C190"/>
    <mergeCell ref="I307:J307"/>
    <mergeCell ref="F153:G153"/>
    <mergeCell ref="B191:C191"/>
    <mergeCell ref="F72:G72"/>
    <mergeCell ref="B178:C178"/>
    <mergeCell ref="B176:K176"/>
    <mergeCell ref="B159:D159"/>
    <mergeCell ref="J21:K21"/>
    <mergeCell ref="B167:D167"/>
    <mergeCell ref="H23:I23"/>
    <mergeCell ref="B161:D161"/>
    <mergeCell ref="J23:K23"/>
    <mergeCell ref="B197:C197"/>
    <mergeCell ref="F148:G148"/>
    <mergeCell ref="B225:D225"/>
    <mergeCell ref="B162:D162"/>
    <mergeCell ref="B267:D267"/>
    <mergeCell ref="F83:G83"/>
    <mergeCell ref="B269:D269"/>
    <mergeCell ref="F85:G85"/>
    <mergeCell ref="B179:C179"/>
    <mergeCell ref="B273:K273"/>
    <mergeCell ref="B45:D45"/>
    <mergeCell ref="B216:D216"/>
    <mergeCell ref="B1:K1"/>
    <mergeCell ref="B150:D150"/>
    <mergeCell ref="B215:D215"/>
    <mergeCell ref="B263:D263"/>
    <mergeCell ref="B152:D152"/>
    <mergeCell ref="F73:G73"/>
    <mergeCell ref="I267:J267"/>
    <mergeCell ref="B229:D229"/>
    <mergeCell ref="E302:H302"/>
    <mergeCell ref="F164:G164"/>
    <mergeCell ref="B260:D260"/>
    <mergeCell ref="B25:K25"/>
    <mergeCell ref="B163:D163"/>
    <mergeCell ref="B165:D165"/>
    <mergeCell ref="B77:D77"/>
    <mergeCell ref="F69:G69"/>
    <mergeCell ref="B15:K15"/>
    <mergeCell ref="B29:D29"/>
    <mergeCell ref="D21:E21"/>
    <mergeCell ref="E267:H267"/>
    <mergeCell ref="B23:C23"/>
    <mergeCell ref="B181:C181"/>
    <mergeCell ref="J55:K55"/>
    <mergeCell ref="B266:D266"/>
    <mergeCell ref="B308:D308"/>
    <mergeCell ref="B195:C195"/>
    <mergeCell ref="B74:D74"/>
    <mergeCell ref="B68:D68"/>
    <mergeCell ref="B310:D310"/>
    <mergeCell ref="F66:G66"/>
    <mergeCell ref="H17:I17"/>
    <mergeCell ref="B76:D76"/>
    <mergeCell ref="H19:I19"/>
    <mergeCell ref="B272:K272"/>
    <mergeCell ref="F61:G61"/>
    <mergeCell ref="B309:D309"/>
    <mergeCell ref="B32:D32"/>
    <mergeCell ref="E262:H262"/>
    <mergeCell ref="B26:D26"/>
    <mergeCell ref="B268:D268"/>
    <mergeCell ref="B153:D153"/>
    <mergeCell ref="B224:D224"/>
    <mergeCell ref="F67:G67"/>
    <mergeCell ref="B261:D261"/>
    <mergeCell ref="F82:G82"/>
    <mergeCell ref="B27:D27"/>
    <mergeCell ref="E208:F208"/>
    <mergeCell ref="B270:K270"/>
    <mergeCell ref="B305:D305"/>
    <mergeCell ref="G206:H206"/>
    <mergeCell ref="F71:G71"/>
    <mergeCell ref="B208:D208"/>
    <mergeCell ref="B88:K88"/>
    <mergeCell ref="B219:D219"/>
    <mergeCell ref="F162:G162"/>
    <mergeCell ref="B146:K146"/>
    <mergeCell ref="B200:C200"/>
    <mergeCell ref="B73:D73"/>
    <mergeCell ref="B148:D148"/>
    <mergeCell ref="B166:D166"/>
    <mergeCell ref="F158:G158"/>
    <mergeCell ref="B168:D168"/>
    <mergeCell ref="F160:G160"/>
    <mergeCell ref="B218:D218"/>
    <mergeCell ref="F167:G167"/>
    <mergeCell ref="F161:G161"/>
    <mergeCell ref="B264:D264"/>
    <mergeCell ref="E305:H305"/>
    <mergeCell ref="F173:G173"/>
    <mergeCell ref="B158:D158"/>
    <mergeCell ref="B147:K147"/>
    <mergeCell ref="B199:C199"/>
    <mergeCell ref="F168:G168"/>
    <mergeCell ref="B53:D53"/>
    <mergeCell ref="B204:K204"/>
    <mergeCell ref="I302:J302"/>
    <mergeCell ref="B4:K4"/>
    <mergeCell ref="B84:D84"/>
    <mergeCell ref="F70:G70"/>
    <mergeCell ref="B80:D80"/>
    <mergeCell ref="B213:D213"/>
    <mergeCell ref="J57:K57"/>
    <mergeCell ref="B42:D42"/>
    <mergeCell ref="B44:D44"/>
    <mergeCell ref="B37:D37"/>
    <mergeCell ref="B47:D47"/>
    <mergeCell ref="E57:I57"/>
    <mergeCell ref="B46:D46"/>
    <mergeCell ref="B41:D41"/>
    <mergeCell ref="B35:D35"/>
    <mergeCell ref="H22:I22"/>
    <mergeCell ref="B69:D69"/>
    <mergeCell ref="J53:K53"/>
    <mergeCell ref="B17:D17"/>
    <mergeCell ref="B19:D19"/>
    <mergeCell ref="F64:G64"/>
  </mergeCells>
  <conditionalFormatting sqref="B4:K312">
    <cfRule type="cellIs" dxfId="37" priority="37" operator="equal">
      <formula>"NON OK"</formula>
    </cfRule>
  </conditionalFormatting>
  <conditionalFormatting sqref="E312">
    <cfRule type="expression" dxfId="36" priority="38">
      <formula>COUNTIF($B$4:$K$311,"NON OK")&gt;0</formula>
    </cfRule>
  </conditionalFormatting>
  <conditionalFormatting sqref="I235">
    <cfRule type="expression" dxfId="35" priority="1">
      <formula>$I$235&gt;$G$13</formula>
    </cfRule>
  </conditionalFormatting>
  <conditionalFormatting sqref="I236">
    <cfRule type="expression" dxfId="34" priority="2">
      <formula>$I$236&gt;$G$13</formula>
    </cfRule>
  </conditionalFormatting>
  <conditionalFormatting sqref="I237">
    <cfRule type="expression" dxfId="33" priority="3">
      <formula>$I$237&gt;$G$13</formula>
    </cfRule>
  </conditionalFormatting>
  <conditionalFormatting sqref="I238">
    <cfRule type="expression" dxfId="32" priority="4">
      <formula>$I$238&gt;$G$13</formula>
    </cfRule>
  </conditionalFormatting>
  <conditionalFormatting sqref="I239">
    <cfRule type="expression" dxfId="31" priority="5">
      <formula>$I$239&gt;$G$13</formula>
    </cfRule>
  </conditionalFormatting>
  <conditionalFormatting sqref="I240">
    <cfRule type="expression" dxfId="30" priority="6">
      <formula>$I$240&gt;$G$13</formula>
    </cfRule>
  </conditionalFormatting>
  <conditionalFormatting sqref="I241">
    <cfRule type="expression" dxfId="29" priority="7">
      <formula>$I$241&gt;$G$13</formula>
    </cfRule>
  </conditionalFormatting>
  <conditionalFormatting sqref="I242">
    <cfRule type="expression" dxfId="28" priority="8">
      <formula>$I$242&gt;$G$13</formula>
    </cfRule>
  </conditionalFormatting>
  <conditionalFormatting sqref="I243">
    <cfRule type="expression" dxfId="27" priority="9">
      <formula>$I$243&gt;$G$13</formula>
    </cfRule>
  </conditionalFormatting>
  <conditionalFormatting sqref="I244">
    <cfRule type="expression" dxfId="26" priority="10">
      <formula>$I$244&gt;$G$13</formula>
    </cfRule>
  </conditionalFormatting>
  <conditionalFormatting sqref="I251">
    <cfRule type="expression" dxfId="25" priority="11">
      <formula>$I$251&gt;$H$13</formula>
    </cfRule>
  </conditionalFormatting>
  <conditionalFormatting sqref="I252">
    <cfRule type="expression" dxfId="24" priority="12">
      <formula>$I$252&gt;$H$13</formula>
    </cfRule>
  </conditionalFormatting>
  <conditionalFormatting sqref="I253">
    <cfRule type="expression" dxfId="23" priority="13">
      <formula>$I$253&gt;$H$13</formula>
    </cfRule>
  </conditionalFormatting>
  <conditionalFormatting sqref="I254">
    <cfRule type="expression" dxfId="22" priority="14">
      <formula>$I$254&gt;$H$13</formula>
    </cfRule>
  </conditionalFormatting>
  <conditionalFormatting sqref="I255">
    <cfRule type="expression" dxfId="21" priority="15">
      <formula>$I$255&gt;$H$13</formula>
    </cfRule>
  </conditionalFormatting>
  <conditionalFormatting sqref="I256">
    <cfRule type="expression" dxfId="20" priority="16">
      <formula>$I$256&gt;$H$13</formula>
    </cfRule>
  </conditionalFormatting>
  <conditionalFormatting sqref="I257">
    <cfRule type="expression" dxfId="19" priority="17">
      <formula>$I$257&gt;$H$13</formula>
    </cfRule>
  </conditionalFormatting>
  <conditionalFormatting sqref="I258">
    <cfRule type="expression" dxfId="18" priority="18">
      <formula>$I$258&gt;$H$13</formula>
    </cfRule>
  </conditionalFormatting>
  <conditionalFormatting sqref="I276">
    <cfRule type="expression" dxfId="17" priority="19">
      <formula>$I$276&gt;$G$13</formula>
    </cfRule>
  </conditionalFormatting>
  <conditionalFormatting sqref="I277">
    <cfRule type="expression" dxfId="16" priority="20">
      <formula>$I$277&gt;$G$13</formula>
    </cfRule>
  </conditionalFormatting>
  <conditionalFormatting sqref="I278">
    <cfRule type="expression" dxfId="15" priority="21">
      <formula>$I$278&gt;$G$13</formula>
    </cfRule>
  </conditionalFormatting>
  <conditionalFormatting sqref="I279">
    <cfRule type="expression" dxfId="14" priority="22">
      <formula>$I$279&gt;$G$13</formula>
    </cfRule>
  </conditionalFormatting>
  <conditionalFormatting sqref="I280">
    <cfRule type="expression" dxfId="13" priority="23">
      <formula>$I$280&gt;$G$13</formula>
    </cfRule>
  </conditionalFormatting>
  <conditionalFormatting sqref="I281">
    <cfRule type="expression" dxfId="12" priority="24">
      <formula>$I$281&gt;$G$13</formula>
    </cfRule>
  </conditionalFormatting>
  <conditionalFormatting sqref="I282">
    <cfRule type="expression" dxfId="11" priority="25">
      <formula>$I$282&gt;$G$13</formula>
    </cfRule>
  </conditionalFormatting>
  <conditionalFormatting sqref="I283">
    <cfRule type="expression" dxfId="10" priority="26">
      <formula>$I$283&gt;$G$13</formula>
    </cfRule>
  </conditionalFormatting>
  <conditionalFormatting sqref="I284">
    <cfRule type="expression" dxfId="9" priority="27">
      <formula>$I$284&gt;$G$13</formula>
    </cfRule>
  </conditionalFormatting>
  <conditionalFormatting sqref="I285">
    <cfRule type="expression" dxfId="8" priority="28">
      <formula>$I$285&gt;$G$13</formula>
    </cfRule>
  </conditionalFormatting>
  <conditionalFormatting sqref="I292">
    <cfRule type="expression" dxfId="7" priority="29">
      <formula>$I$292&gt;$H$13</formula>
    </cfRule>
  </conditionalFormatting>
  <conditionalFormatting sqref="I293">
    <cfRule type="expression" dxfId="6" priority="30">
      <formula>$I$293&gt;$H$13</formula>
    </cfRule>
  </conditionalFormatting>
  <conditionalFormatting sqref="I294">
    <cfRule type="expression" dxfId="5" priority="31">
      <formula>$I$294&gt;$H$13</formula>
    </cfRule>
  </conditionalFormatting>
  <conditionalFormatting sqref="I295">
    <cfRule type="expression" dxfId="4" priority="32">
      <formula>$I$295&gt;$H$13</formula>
    </cfRule>
  </conditionalFormatting>
  <conditionalFormatting sqref="I296">
    <cfRule type="expression" dxfId="3" priority="33">
      <formula>$I$296&gt;$H$13</formula>
    </cfRule>
  </conditionalFormatting>
  <conditionalFormatting sqref="I297">
    <cfRule type="expression" dxfId="2" priority="34">
      <formula>$I$297&gt;$H$13</formula>
    </cfRule>
  </conditionalFormatting>
  <conditionalFormatting sqref="I298">
    <cfRule type="expression" dxfId="1" priority="35">
      <formula>$I$298&gt;$H$13</formula>
    </cfRule>
  </conditionalFormatting>
  <conditionalFormatting sqref="I299">
    <cfRule type="expression" dxfId="0" priority="36">
      <formula>$I$299&gt;$H$13</formula>
    </cfRule>
  </conditionalFormatting>
  <printOptions horizontalCentered="1"/>
  <pageMargins left="0.75" right="0.75" top="1" bottom="1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Semelle S1</vt:lpstr>
      <vt:lpstr>Semelle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AMINE LASSAL</cp:lastModifiedBy>
  <dcterms:created xsi:type="dcterms:W3CDTF">2026-10-13T19:27:09Z</dcterms:created>
  <dcterms:modified xsi:type="dcterms:W3CDTF">2026-10-13T19:27:14Z</dcterms:modified>
</cp:coreProperties>
</file>