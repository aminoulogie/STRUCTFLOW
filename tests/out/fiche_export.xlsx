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o\Desktop\GCSTRUCTFLOW\ISOLATED_FOOTINGS\tests\out\"/>
    </mc:Choice>
  </mc:AlternateContent>
  <xr:revisionPtr revIDLastSave="0" documentId="13_ncr:1_{8DEF0EA1-BBB6-46D5-9FB1-3A6745860C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elle S1" sheetId="1" r:id="rId1"/>
    <sheet name="Semelle 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9" i="2" l="1"/>
  <c r="G299" i="2" s="1"/>
  <c r="F297" i="2"/>
  <c r="F298" i="2" s="1"/>
  <c r="F258" i="2"/>
  <c r="G258" i="2" s="1"/>
  <c r="F256" i="2"/>
  <c r="F257" i="2" s="1"/>
  <c r="G219" i="2"/>
  <c r="F219" i="2"/>
  <c r="E219" i="2"/>
  <c r="F218" i="2"/>
  <c r="E218" i="2"/>
  <c r="G218" i="2" s="1"/>
  <c r="F217" i="2"/>
  <c r="E217" i="2"/>
  <c r="G217" i="2" s="1"/>
  <c r="F216" i="2"/>
  <c r="E216" i="2"/>
  <c r="F215" i="2"/>
  <c r="E215" i="2"/>
  <c r="G215" i="2" s="1"/>
  <c r="F214" i="2"/>
  <c r="E214" i="2"/>
  <c r="G214" i="2" s="1"/>
  <c r="F213" i="2"/>
  <c r="G213" i="2" s="1"/>
  <c r="E213" i="2"/>
  <c r="F212" i="2"/>
  <c r="E212" i="2"/>
  <c r="G212" i="2" s="1"/>
  <c r="F211" i="2"/>
  <c r="E211" i="2"/>
  <c r="G211" i="2" s="1"/>
  <c r="F210" i="2"/>
  <c r="E210" i="2"/>
  <c r="F209" i="2"/>
  <c r="E209" i="2"/>
  <c r="G209" i="2" s="1"/>
  <c r="F208" i="2"/>
  <c r="E208" i="2"/>
  <c r="G208" i="2" s="1"/>
  <c r="F207" i="2"/>
  <c r="E207" i="2"/>
  <c r="G207" i="2" s="1"/>
  <c r="G206" i="2"/>
  <c r="F206" i="2"/>
  <c r="E206" i="2"/>
  <c r="F205" i="2"/>
  <c r="E205" i="2"/>
  <c r="G205" i="2" s="1"/>
  <c r="F204" i="2"/>
  <c r="E204" i="2"/>
  <c r="G204" i="2" s="1"/>
  <c r="F203" i="2"/>
  <c r="G203" i="2" s="1"/>
  <c r="E203" i="2"/>
  <c r="C198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E79" i="2"/>
  <c r="F74" i="2"/>
  <c r="F73" i="2"/>
  <c r="E69" i="2"/>
  <c r="F66" i="2"/>
  <c r="F65" i="2"/>
  <c r="F62" i="2"/>
  <c r="F60" i="2"/>
  <c r="E60" i="2"/>
  <c r="F52" i="2"/>
  <c r="F50" i="2"/>
  <c r="F19" i="2"/>
  <c r="F14" i="2" s="1"/>
  <c r="B19" i="2"/>
  <c r="C19" i="2" s="1"/>
  <c r="G15" i="2"/>
  <c r="F15" i="2"/>
  <c r="F16" i="2" s="1"/>
  <c r="F10" i="2"/>
  <c r="F80" i="2" s="1"/>
  <c r="E10" i="2"/>
  <c r="F51" i="2" s="1"/>
  <c r="J8" i="2"/>
  <c r="I8" i="2"/>
  <c r="H8" i="2"/>
  <c r="F8" i="2"/>
  <c r="E8" i="2"/>
  <c r="D6" i="2"/>
  <c r="F299" i="1"/>
  <c r="G299" i="1" s="1"/>
  <c r="F297" i="1"/>
  <c r="F259" i="1"/>
  <c r="G259" i="1" s="1"/>
  <c r="F257" i="1"/>
  <c r="F258" i="1" s="1"/>
  <c r="C260" i="1" s="1"/>
  <c r="F220" i="1"/>
  <c r="E220" i="1"/>
  <c r="F219" i="1"/>
  <c r="E219" i="1"/>
  <c r="G219" i="1" s="1"/>
  <c r="F218" i="1"/>
  <c r="G218" i="1" s="1"/>
  <c r="E218" i="1"/>
  <c r="F217" i="1"/>
  <c r="E217" i="1"/>
  <c r="G217" i="1" s="1"/>
  <c r="F216" i="1"/>
  <c r="E216" i="1"/>
  <c r="F215" i="1"/>
  <c r="E215" i="1"/>
  <c r="G215" i="1" s="1"/>
  <c r="F214" i="1"/>
  <c r="E214" i="1"/>
  <c r="F213" i="1"/>
  <c r="E213" i="1"/>
  <c r="G213" i="1" s="1"/>
  <c r="F212" i="1"/>
  <c r="E212" i="1"/>
  <c r="F211" i="1"/>
  <c r="E211" i="1"/>
  <c r="F210" i="1"/>
  <c r="E210" i="1"/>
  <c r="G210" i="1" s="1"/>
  <c r="F209" i="1"/>
  <c r="E209" i="1"/>
  <c r="F208" i="1"/>
  <c r="E208" i="1"/>
  <c r="F207" i="1"/>
  <c r="E207" i="1"/>
  <c r="F206" i="1"/>
  <c r="E206" i="1"/>
  <c r="G206" i="1" s="1"/>
  <c r="G205" i="1"/>
  <c r="F205" i="1"/>
  <c r="E205" i="1"/>
  <c r="C200" i="1"/>
  <c r="C199" i="1"/>
  <c r="C198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F52" i="1"/>
  <c r="F51" i="1"/>
  <c r="C238" i="1" s="1"/>
  <c r="F50" i="1"/>
  <c r="F19" i="1"/>
  <c r="G14" i="1" s="1"/>
  <c r="G16" i="1" s="1"/>
  <c r="B19" i="1"/>
  <c r="C19" i="1" s="1"/>
  <c r="G15" i="1"/>
  <c r="F15" i="1"/>
  <c r="F10" i="1"/>
  <c r="F80" i="1" s="1"/>
  <c r="E10" i="1"/>
  <c r="J8" i="1"/>
  <c r="I8" i="1"/>
  <c r="H8" i="1"/>
  <c r="F8" i="1"/>
  <c r="E8" i="1"/>
  <c r="D6" i="1"/>
  <c r="C286" i="2" l="1"/>
  <c r="C238" i="2"/>
  <c r="F53" i="1"/>
  <c r="D198" i="1" s="1"/>
  <c r="E198" i="1" s="1"/>
  <c r="G198" i="1" s="1"/>
  <c r="G209" i="1"/>
  <c r="F53" i="2"/>
  <c r="D60" i="2" s="1"/>
  <c r="F227" i="2" s="1"/>
  <c r="E62" i="2"/>
  <c r="F68" i="2"/>
  <c r="E78" i="2"/>
  <c r="E63" i="2"/>
  <c r="F69" i="2"/>
  <c r="F81" i="2"/>
  <c r="E58" i="1"/>
  <c r="F58" i="2"/>
  <c r="F63" i="2"/>
  <c r="E70" i="2"/>
  <c r="G207" i="1"/>
  <c r="G214" i="1"/>
  <c r="E59" i="2"/>
  <c r="E64" i="2"/>
  <c r="E71" i="2"/>
  <c r="G211" i="1"/>
  <c r="C230" i="1"/>
  <c r="F59" i="2"/>
  <c r="E65" i="2"/>
  <c r="F72" i="2"/>
  <c r="G210" i="2"/>
  <c r="G216" i="2"/>
  <c r="D238" i="1"/>
  <c r="E238" i="1"/>
  <c r="D19" i="1"/>
  <c r="C14" i="1" s="1"/>
  <c r="C16" i="1" s="1"/>
  <c r="E19" i="1"/>
  <c r="D14" i="1" s="1"/>
  <c r="D16" i="1" s="1"/>
  <c r="D200" i="1"/>
  <c r="E200" i="1" s="1"/>
  <c r="G200" i="1" s="1"/>
  <c r="D186" i="1"/>
  <c r="D178" i="1"/>
  <c r="D170" i="1"/>
  <c r="D188" i="1"/>
  <c r="D180" i="1"/>
  <c r="D172" i="1"/>
  <c r="D189" i="1"/>
  <c r="D173" i="1"/>
  <c r="D199" i="1"/>
  <c r="E199" i="1" s="1"/>
  <c r="G199" i="1" s="1"/>
  <c r="D190" i="1"/>
  <c r="D182" i="1"/>
  <c r="D174" i="1"/>
  <c r="D164" i="1"/>
  <c r="D156" i="1"/>
  <c r="D191" i="1"/>
  <c r="D183" i="1"/>
  <c r="D175" i="1"/>
  <c r="D161" i="1"/>
  <c r="D153" i="1"/>
  <c r="D145" i="1"/>
  <c r="D193" i="1"/>
  <c r="D185" i="1"/>
  <c r="D179" i="1"/>
  <c r="D177" i="1"/>
  <c r="D158" i="1"/>
  <c r="D150" i="1"/>
  <c r="D142" i="1"/>
  <c r="D160" i="1"/>
  <c r="D144" i="1"/>
  <c r="D192" i="1"/>
  <c r="D184" i="1"/>
  <c r="D176" i="1"/>
  <c r="D162" i="1"/>
  <c r="D154" i="1"/>
  <c r="D146" i="1"/>
  <c r="D74" i="1"/>
  <c r="D66" i="1"/>
  <c r="D58" i="1"/>
  <c r="D72" i="1"/>
  <c r="D64" i="1"/>
  <c r="D60" i="1"/>
  <c r="D147" i="1"/>
  <c r="D69" i="1"/>
  <c r="D61" i="1"/>
  <c r="D80" i="1"/>
  <c r="D59" i="1"/>
  <c r="D81" i="1"/>
  <c r="D73" i="1"/>
  <c r="D143" i="1"/>
  <c r="D76" i="1"/>
  <c r="D149" i="1"/>
  <c r="D67" i="1"/>
  <c r="D70" i="1"/>
  <c r="D65" i="1"/>
  <c r="D157" i="1"/>
  <c r="D163" i="1"/>
  <c r="D75" i="1"/>
  <c r="D78" i="1"/>
  <c r="D171" i="1"/>
  <c r="D79" i="1"/>
  <c r="D159" i="1"/>
  <c r="D62" i="1"/>
  <c r="D63" i="1"/>
  <c r="D165" i="1"/>
  <c r="D151" i="1"/>
  <c r="D68" i="1"/>
  <c r="D71" i="1"/>
  <c r="E60" i="1"/>
  <c r="E76" i="1"/>
  <c r="C206" i="1"/>
  <c r="D206" i="1" s="1"/>
  <c r="C214" i="1"/>
  <c r="D214" i="1" s="1"/>
  <c r="F77" i="1"/>
  <c r="E68" i="1"/>
  <c r="E65" i="1"/>
  <c r="E81" i="1"/>
  <c r="F61" i="1"/>
  <c r="E74" i="1"/>
  <c r="E63" i="1"/>
  <c r="E71" i="1"/>
  <c r="F74" i="1"/>
  <c r="E79" i="1"/>
  <c r="F71" i="1"/>
  <c r="F79" i="1"/>
  <c r="F68" i="1"/>
  <c r="F73" i="1"/>
  <c r="E78" i="1"/>
  <c r="G268" i="2"/>
  <c r="H268" i="2" s="1"/>
  <c r="F268" i="2"/>
  <c r="G227" i="2"/>
  <c r="C116" i="2"/>
  <c r="C88" i="2"/>
  <c r="G60" i="2"/>
  <c r="D88" i="2" s="1"/>
  <c r="H60" i="2"/>
  <c r="D116" i="2" s="1"/>
  <c r="F66" i="1"/>
  <c r="F60" i="1"/>
  <c r="F14" i="1"/>
  <c r="F16" i="1" s="1"/>
  <c r="F81" i="1"/>
  <c r="E59" i="1"/>
  <c r="F62" i="1"/>
  <c r="F70" i="1"/>
  <c r="E75" i="1"/>
  <c r="F69" i="1"/>
  <c r="F58" i="1"/>
  <c r="G19" i="1"/>
  <c r="E14" i="1" s="1"/>
  <c r="E16" i="1" s="1"/>
  <c r="F76" i="1"/>
  <c r="E62" i="1"/>
  <c r="F65" i="1"/>
  <c r="E70" i="1"/>
  <c r="E67" i="1"/>
  <c r="F59" i="1"/>
  <c r="E64" i="1"/>
  <c r="F67" i="1"/>
  <c r="E72" i="1"/>
  <c r="F75" i="1"/>
  <c r="E80" i="1"/>
  <c r="E66" i="1"/>
  <c r="D230" i="1"/>
  <c r="E230" i="1"/>
  <c r="F63" i="1"/>
  <c r="E73" i="1"/>
  <c r="C283" i="1"/>
  <c r="C275" i="1"/>
  <c r="C267" i="1"/>
  <c r="C282" i="1"/>
  <c r="C274" i="1"/>
  <c r="C266" i="1"/>
  <c r="C289" i="1"/>
  <c r="C276" i="1"/>
  <c r="C270" i="1"/>
  <c r="C249" i="1"/>
  <c r="C287" i="1"/>
  <c r="C277" i="1"/>
  <c r="C271" i="1"/>
  <c r="C239" i="1"/>
  <c r="C231" i="1"/>
  <c r="C216" i="1"/>
  <c r="D216" i="1" s="1"/>
  <c r="C208" i="1"/>
  <c r="D208" i="1" s="1"/>
  <c r="C288" i="1"/>
  <c r="C284" i="1"/>
  <c r="C279" i="1"/>
  <c r="C273" i="1"/>
  <c r="C237" i="1"/>
  <c r="C229" i="1"/>
  <c r="C218" i="1"/>
  <c r="D218" i="1" s="1"/>
  <c r="C210" i="1"/>
  <c r="D210" i="1" s="1"/>
  <c r="C280" i="1"/>
  <c r="C245" i="1"/>
  <c r="C244" i="1"/>
  <c r="C236" i="1"/>
  <c r="C228" i="1"/>
  <c r="C219" i="1"/>
  <c r="D219" i="1" s="1"/>
  <c r="C211" i="1"/>
  <c r="D211" i="1" s="1"/>
  <c r="C285" i="1"/>
  <c r="C281" i="1"/>
  <c r="C246" i="1"/>
  <c r="C243" i="1"/>
  <c r="C235" i="1"/>
  <c r="C227" i="1"/>
  <c r="C220" i="1"/>
  <c r="D220" i="1" s="1"/>
  <c r="C212" i="1"/>
  <c r="D212" i="1" s="1"/>
  <c r="C242" i="1"/>
  <c r="C226" i="1"/>
  <c r="C205" i="1"/>
  <c r="D205" i="1" s="1"/>
  <c r="C272" i="1"/>
  <c r="C269" i="1"/>
  <c r="C233" i="1"/>
  <c r="C278" i="1"/>
  <c r="C248" i="1"/>
  <c r="C240" i="1"/>
  <c r="C217" i="1"/>
  <c r="D217" i="1" s="1"/>
  <c r="C215" i="1"/>
  <c r="D215" i="1" s="1"/>
  <c r="C268" i="1"/>
  <c r="C247" i="1"/>
  <c r="C234" i="1"/>
  <c r="C213" i="1"/>
  <c r="D213" i="1" s="1"/>
  <c r="C241" i="1"/>
  <c r="C232" i="1"/>
  <c r="C209" i="1"/>
  <c r="D209" i="1" s="1"/>
  <c r="C207" i="1"/>
  <c r="D207" i="1" s="1"/>
  <c r="F78" i="1"/>
  <c r="F253" i="1"/>
  <c r="F293" i="1"/>
  <c r="E61" i="1"/>
  <c r="F64" i="1"/>
  <c r="E69" i="1"/>
  <c r="F72" i="1"/>
  <c r="E77" i="1"/>
  <c r="C286" i="1"/>
  <c r="D190" i="2"/>
  <c r="D182" i="2"/>
  <c r="D174" i="2"/>
  <c r="D191" i="2"/>
  <c r="D183" i="2"/>
  <c r="D175" i="2"/>
  <c r="D192" i="2"/>
  <c r="D184" i="2"/>
  <c r="D176" i="2"/>
  <c r="D198" i="2"/>
  <c r="E198" i="2" s="1"/>
  <c r="G198" i="2" s="1"/>
  <c r="D186" i="2"/>
  <c r="D178" i="2"/>
  <c r="D170" i="2"/>
  <c r="D189" i="2"/>
  <c r="D181" i="2"/>
  <c r="D173" i="2"/>
  <c r="D172" i="2"/>
  <c r="D77" i="2"/>
  <c r="D69" i="2"/>
  <c r="D179" i="2"/>
  <c r="D80" i="2"/>
  <c r="D72" i="2"/>
  <c r="D171" i="2"/>
  <c r="D165" i="2"/>
  <c r="D163" i="2"/>
  <c r="D161" i="2"/>
  <c r="D159" i="2"/>
  <c r="D157" i="2"/>
  <c r="D155" i="2"/>
  <c r="D153" i="2"/>
  <c r="D151" i="2"/>
  <c r="D149" i="2"/>
  <c r="D147" i="2"/>
  <c r="D145" i="2"/>
  <c r="D143" i="2"/>
  <c r="D78" i="2"/>
  <c r="D70" i="2"/>
  <c r="D188" i="2"/>
  <c r="D185" i="2"/>
  <c r="D81" i="2"/>
  <c r="D73" i="2"/>
  <c r="D187" i="2"/>
  <c r="D71" i="2"/>
  <c r="D63" i="2"/>
  <c r="D164" i="2"/>
  <c r="D160" i="2"/>
  <c r="D156" i="2"/>
  <c r="D152" i="2"/>
  <c r="D148" i="2"/>
  <c r="D144" i="2"/>
  <c r="D74" i="2"/>
  <c r="D68" i="2"/>
  <c r="D66" i="2"/>
  <c r="D58" i="2"/>
  <c r="D193" i="2"/>
  <c r="D61" i="2"/>
  <c r="D177" i="2"/>
  <c r="D79" i="2"/>
  <c r="D67" i="2"/>
  <c r="D59" i="2"/>
  <c r="D162" i="2"/>
  <c r="D158" i="2"/>
  <c r="D154" i="2"/>
  <c r="D150" i="2"/>
  <c r="D146" i="2"/>
  <c r="D142" i="2"/>
  <c r="D65" i="2"/>
  <c r="D62" i="2"/>
  <c r="D180" i="2"/>
  <c r="D76" i="2"/>
  <c r="G216" i="1"/>
  <c r="G220" i="1"/>
  <c r="D64" i="2"/>
  <c r="D75" i="2"/>
  <c r="G208" i="1"/>
  <c r="G212" i="1"/>
  <c r="E19" i="2"/>
  <c r="D14" i="2" s="1"/>
  <c r="D16" i="2" s="1"/>
  <c r="D19" i="2"/>
  <c r="C14" i="2" s="1"/>
  <c r="C16" i="2" s="1"/>
  <c r="G14" i="2"/>
  <c r="G16" i="2" s="1"/>
  <c r="G19" i="2"/>
  <c r="E14" i="2" s="1"/>
  <c r="E16" i="2" s="1"/>
  <c r="D286" i="2"/>
  <c r="E286" i="2" s="1"/>
  <c r="F298" i="1"/>
  <c r="D238" i="2"/>
  <c r="E238" i="2" s="1"/>
  <c r="C283" i="2"/>
  <c r="C275" i="2"/>
  <c r="C267" i="2"/>
  <c r="C243" i="2"/>
  <c r="C235" i="2"/>
  <c r="C227" i="2"/>
  <c r="C218" i="2"/>
  <c r="D218" i="2" s="1"/>
  <c r="C210" i="2"/>
  <c r="D210" i="2" s="1"/>
  <c r="C282" i="2"/>
  <c r="C274" i="2"/>
  <c r="C266" i="2"/>
  <c r="C242" i="2"/>
  <c r="C234" i="2"/>
  <c r="C226" i="2"/>
  <c r="C219" i="2"/>
  <c r="D219" i="2" s="1"/>
  <c r="C211" i="2"/>
  <c r="D211" i="2" s="1"/>
  <c r="C203" i="2"/>
  <c r="D203" i="2" s="1"/>
  <c r="C289" i="2"/>
  <c r="C281" i="2"/>
  <c r="C273" i="2"/>
  <c r="C241" i="2"/>
  <c r="C233" i="2"/>
  <c r="C225" i="2"/>
  <c r="C212" i="2"/>
  <c r="D212" i="2" s="1"/>
  <c r="C204" i="2"/>
  <c r="D204" i="2" s="1"/>
  <c r="C288" i="2"/>
  <c r="C280" i="2"/>
  <c r="C272" i="2"/>
  <c r="C248" i="2"/>
  <c r="C240" i="2"/>
  <c r="C232" i="2"/>
  <c r="C213" i="2"/>
  <c r="D213" i="2" s="1"/>
  <c r="C287" i="2"/>
  <c r="C279" i="2"/>
  <c r="C271" i="2"/>
  <c r="C247" i="2"/>
  <c r="C239" i="2"/>
  <c r="C231" i="2"/>
  <c r="C214" i="2"/>
  <c r="D214" i="2" s="1"/>
  <c r="C206" i="2"/>
  <c r="D206" i="2" s="1"/>
  <c r="C285" i="2"/>
  <c r="C277" i="2"/>
  <c r="C269" i="2"/>
  <c r="C245" i="2"/>
  <c r="C237" i="2"/>
  <c r="C229" i="2"/>
  <c r="C216" i="2"/>
  <c r="D216" i="2" s="1"/>
  <c r="C284" i="2"/>
  <c r="C276" i="2"/>
  <c r="C268" i="2"/>
  <c r="C244" i="2"/>
  <c r="C236" i="2"/>
  <c r="C228" i="2"/>
  <c r="C217" i="2"/>
  <c r="D217" i="2" s="1"/>
  <c r="C209" i="2"/>
  <c r="D209" i="2" s="1"/>
  <c r="C278" i="2"/>
  <c r="C230" i="2"/>
  <c r="C208" i="2"/>
  <c r="D208" i="2" s="1"/>
  <c r="C270" i="2"/>
  <c r="C207" i="2"/>
  <c r="D207" i="2" s="1"/>
  <c r="F252" i="2"/>
  <c r="C215" i="2"/>
  <c r="D215" i="2" s="1"/>
  <c r="C246" i="2"/>
  <c r="F293" i="2"/>
  <c r="E61" i="2"/>
  <c r="F64" i="2"/>
  <c r="E77" i="2"/>
  <c r="C205" i="2"/>
  <c r="D205" i="2" s="1"/>
  <c r="E80" i="2"/>
  <c r="F75" i="2"/>
  <c r="E72" i="2"/>
  <c r="F67" i="2"/>
  <c r="F78" i="2"/>
  <c r="E75" i="2"/>
  <c r="F70" i="2"/>
  <c r="E67" i="2"/>
  <c r="E81" i="2"/>
  <c r="F76" i="2"/>
  <c r="E73" i="2"/>
  <c r="F79" i="2"/>
  <c r="E76" i="2"/>
  <c r="F71" i="2"/>
  <c r="E58" i="2"/>
  <c r="F61" i="2"/>
  <c r="E66" i="2"/>
  <c r="E68" i="2"/>
  <c r="E74" i="2"/>
  <c r="F77" i="2"/>
  <c r="C300" i="2"/>
  <c r="C259" i="2"/>
  <c r="H227" i="2" l="1"/>
  <c r="E88" i="2"/>
  <c r="D77" i="1"/>
  <c r="D155" i="1"/>
  <c r="D152" i="1"/>
  <c r="D187" i="1"/>
  <c r="D148" i="1"/>
  <c r="D181" i="1"/>
  <c r="E181" i="1" s="1"/>
  <c r="I227" i="2"/>
  <c r="J227" i="2" s="1"/>
  <c r="I268" i="2"/>
  <c r="J268" i="2" s="1"/>
  <c r="G284" i="2"/>
  <c r="F284" i="2"/>
  <c r="G243" i="2"/>
  <c r="F243" i="2"/>
  <c r="H76" i="2"/>
  <c r="D132" i="2" s="1"/>
  <c r="E132" i="2"/>
  <c r="C132" i="2"/>
  <c r="C104" i="2"/>
  <c r="G76" i="2"/>
  <c r="D104" i="2" s="1"/>
  <c r="F158" i="2"/>
  <c r="E158" i="2"/>
  <c r="H158" i="2" s="1"/>
  <c r="F266" i="2"/>
  <c r="G225" i="2"/>
  <c r="F225" i="2"/>
  <c r="H225" i="2" s="1"/>
  <c r="G266" i="2"/>
  <c r="C114" i="2"/>
  <c r="C86" i="2"/>
  <c r="H58" i="2"/>
  <c r="D114" i="2" s="1"/>
  <c r="G58" i="2"/>
  <c r="D86" i="2" s="1"/>
  <c r="E160" i="2"/>
  <c r="F160" i="2"/>
  <c r="F188" i="2"/>
  <c r="E188" i="2"/>
  <c r="G188" i="2" s="1"/>
  <c r="H188" i="2" s="1"/>
  <c r="J188" i="2" s="1"/>
  <c r="F153" i="2"/>
  <c r="E153" i="2"/>
  <c r="H153" i="2" s="1"/>
  <c r="F280" i="2"/>
  <c r="G239" i="2"/>
  <c r="H239" i="2" s="1"/>
  <c r="F239" i="2"/>
  <c r="G280" i="2"/>
  <c r="H280" i="2" s="1"/>
  <c r="C128" i="2"/>
  <c r="C100" i="2"/>
  <c r="G72" i="2"/>
  <c r="D100" i="2" s="1"/>
  <c r="F100" i="2"/>
  <c r="E100" i="2"/>
  <c r="H72" i="2"/>
  <c r="D128" i="2" s="1"/>
  <c r="E189" i="2"/>
  <c r="F189" i="2"/>
  <c r="E175" i="2"/>
  <c r="F175" i="2"/>
  <c r="D234" i="1"/>
  <c r="E234" i="1" s="1"/>
  <c r="D233" i="1"/>
  <c r="E233" i="1" s="1"/>
  <c r="D227" i="1"/>
  <c r="E227" i="1" s="1"/>
  <c r="D228" i="1"/>
  <c r="E228" i="1"/>
  <c r="D237" i="1"/>
  <c r="E237" i="1" s="1"/>
  <c r="D239" i="1"/>
  <c r="E239" i="1" s="1"/>
  <c r="D266" i="1"/>
  <c r="E266" i="1"/>
  <c r="E116" i="2"/>
  <c r="G279" i="1"/>
  <c r="F279" i="1"/>
  <c r="H279" i="1" s="1"/>
  <c r="G239" i="1"/>
  <c r="F239" i="1"/>
  <c r="H239" i="1" s="1"/>
  <c r="C127" i="1"/>
  <c r="H71" i="1"/>
  <c r="D127" i="1" s="1"/>
  <c r="C99" i="1"/>
  <c r="G71" i="1"/>
  <c r="D99" i="1" s="1"/>
  <c r="E171" i="1"/>
  <c r="F171" i="1"/>
  <c r="E149" i="1"/>
  <c r="F149" i="1"/>
  <c r="G277" i="1"/>
  <c r="F277" i="1"/>
  <c r="G237" i="1"/>
  <c r="H237" i="1" s="1"/>
  <c r="F237" i="1"/>
  <c r="C125" i="1"/>
  <c r="C97" i="1"/>
  <c r="G69" i="1"/>
  <c r="D97" i="1" s="1"/>
  <c r="H69" i="1"/>
  <c r="D125" i="1" s="1"/>
  <c r="E97" i="1"/>
  <c r="H282" i="1"/>
  <c r="F242" i="1"/>
  <c r="G282" i="1"/>
  <c r="F282" i="1"/>
  <c r="C130" i="1"/>
  <c r="C102" i="1"/>
  <c r="G242" i="1"/>
  <c r="H242" i="1" s="1"/>
  <c r="H74" i="1"/>
  <c r="D130" i="1" s="1"/>
  <c r="G74" i="1"/>
  <c r="D102" i="1" s="1"/>
  <c r="E144" i="1"/>
  <c r="F144" i="1"/>
  <c r="F185" i="1"/>
  <c r="E185" i="1"/>
  <c r="G185" i="1" s="1"/>
  <c r="H185" i="1" s="1"/>
  <c r="J185" i="1" s="1"/>
  <c r="F191" i="1"/>
  <c r="E191" i="1"/>
  <c r="G191" i="1" s="1"/>
  <c r="H191" i="1" s="1"/>
  <c r="J191" i="1" s="1"/>
  <c r="E173" i="1"/>
  <c r="F173" i="1"/>
  <c r="E186" i="1"/>
  <c r="F186" i="1"/>
  <c r="D239" i="2"/>
  <c r="E239" i="2" s="1"/>
  <c r="D234" i="2"/>
  <c r="E234" i="2" s="1"/>
  <c r="D235" i="2"/>
  <c r="E235" i="2" s="1"/>
  <c r="F154" i="2"/>
  <c r="E154" i="2"/>
  <c r="H154" i="2" s="1"/>
  <c r="E171" i="2"/>
  <c r="F171" i="2"/>
  <c r="D229" i="1"/>
  <c r="E229" i="1" s="1"/>
  <c r="G287" i="1"/>
  <c r="F287" i="1"/>
  <c r="G247" i="1"/>
  <c r="H247" i="1" s="1"/>
  <c r="F247" i="1"/>
  <c r="C135" i="1"/>
  <c r="F107" i="1"/>
  <c r="H287" i="1"/>
  <c r="H79" i="1"/>
  <c r="D135" i="1" s="1"/>
  <c r="G79" i="1"/>
  <c r="D107" i="1" s="1"/>
  <c r="C107" i="1"/>
  <c r="G235" i="1"/>
  <c r="G275" i="1"/>
  <c r="F275" i="1"/>
  <c r="H275" i="1" s="1"/>
  <c r="C123" i="1"/>
  <c r="C95" i="1"/>
  <c r="H235" i="1"/>
  <c r="F235" i="1"/>
  <c r="G67" i="1"/>
  <c r="D95" i="1" s="1"/>
  <c r="G95" i="1"/>
  <c r="H67" i="1"/>
  <c r="D123" i="1" s="1"/>
  <c r="E95" i="1"/>
  <c r="F274" i="1"/>
  <c r="H274" i="1" s="1"/>
  <c r="F234" i="1"/>
  <c r="H234" i="1" s="1"/>
  <c r="C122" i="1"/>
  <c r="C94" i="1"/>
  <c r="G274" i="1"/>
  <c r="F122" i="1"/>
  <c r="G122" i="1"/>
  <c r="G234" i="1"/>
  <c r="F94" i="1"/>
  <c r="H66" i="1"/>
  <c r="D122" i="1" s="1"/>
  <c r="G66" i="1"/>
  <c r="D94" i="1" s="1"/>
  <c r="E122" i="1"/>
  <c r="E94" i="1"/>
  <c r="F192" i="1"/>
  <c r="E192" i="1"/>
  <c r="G192" i="1" s="1"/>
  <c r="H192" i="1" s="1"/>
  <c r="J192" i="1" s="1"/>
  <c r="E179" i="1"/>
  <c r="F179" i="1"/>
  <c r="F183" i="1"/>
  <c r="E183" i="1"/>
  <c r="G183" i="1" s="1"/>
  <c r="H183" i="1" s="1"/>
  <c r="J183" i="1" s="1"/>
  <c r="H207" i="2"/>
  <c r="I207" i="2"/>
  <c r="D247" i="2"/>
  <c r="E247" i="2" s="1"/>
  <c r="D273" i="2"/>
  <c r="E273" i="2" s="1"/>
  <c r="D271" i="2"/>
  <c r="E271" i="2" s="1"/>
  <c r="D266" i="2"/>
  <c r="E266" i="2" s="1"/>
  <c r="F180" i="2"/>
  <c r="E180" i="2"/>
  <c r="F162" i="2"/>
  <c r="E162" i="2"/>
  <c r="F274" i="2"/>
  <c r="G233" i="2"/>
  <c r="F233" i="2"/>
  <c r="H233" i="2" s="1"/>
  <c r="G274" i="2"/>
  <c r="C122" i="2"/>
  <c r="C94" i="2"/>
  <c r="H66" i="2"/>
  <c r="D122" i="2" s="1"/>
  <c r="G66" i="2"/>
  <c r="D94" i="2" s="1"/>
  <c r="E164" i="2"/>
  <c r="F164" i="2"/>
  <c r="G278" i="2"/>
  <c r="F278" i="2"/>
  <c r="G237" i="2"/>
  <c r="F237" i="2"/>
  <c r="G70" i="2"/>
  <c r="D98" i="2" s="1"/>
  <c r="C126" i="2"/>
  <c r="C98" i="2"/>
  <c r="H70" i="2"/>
  <c r="D126" i="2" s="1"/>
  <c r="F155" i="2"/>
  <c r="E155" i="2"/>
  <c r="F288" i="2"/>
  <c r="G247" i="2"/>
  <c r="F247" i="2"/>
  <c r="G288" i="2"/>
  <c r="H288" i="2" s="1"/>
  <c r="C136" i="2"/>
  <c r="C108" i="2"/>
  <c r="G80" i="2"/>
  <c r="D108" i="2" s="1"/>
  <c r="G108" i="2"/>
  <c r="H80" i="2"/>
  <c r="D136" i="2" s="1"/>
  <c r="F170" i="2"/>
  <c r="E170" i="2"/>
  <c r="G170" i="2" s="1"/>
  <c r="H170" i="2" s="1"/>
  <c r="J170" i="2" s="1"/>
  <c r="E183" i="2"/>
  <c r="F183" i="2"/>
  <c r="D247" i="1"/>
  <c r="E247" i="1" s="1"/>
  <c r="D269" i="1"/>
  <c r="E269" i="1" s="1"/>
  <c r="D235" i="1"/>
  <c r="E235" i="1" s="1"/>
  <c r="D236" i="1"/>
  <c r="E236" i="1" s="1"/>
  <c r="D273" i="1"/>
  <c r="E273" i="1" s="1"/>
  <c r="D271" i="1"/>
  <c r="E271" i="1"/>
  <c r="D274" i="1"/>
  <c r="E274" i="1"/>
  <c r="F236" i="1"/>
  <c r="H276" i="1"/>
  <c r="G276" i="1"/>
  <c r="F276" i="1"/>
  <c r="G236" i="1"/>
  <c r="C124" i="1"/>
  <c r="H68" i="1"/>
  <c r="D124" i="1" s="1"/>
  <c r="G124" i="1"/>
  <c r="G68" i="1"/>
  <c r="D96" i="1" s="1"/>
  <c r="F96" i="1"/>
  <c r="C96" i="1"/>
  <c r="E96" i="1"/>
  <c r="G286" i="1"/>
  <c r="F286" i="1"/>
  <c r="C134" i="1"/>
  <c r="G106" i="1"/>
  <c r="G134" i="1"/>
  <c r="H78" i="1"/>
  <c r="D134" i="1" s="1"/>
  <c r="G78" i="1"/>
  <c r="D106" i="1" s="1"/>
  <c r="C106" i="1"/>
  <c r="F246" i="1"/>
  <c r="G246" i="1" s="1"/>
  <c r="H246" i="1" s="1"/>
  <c r="F284" i="1"/>
  <c r="H284" i="1" s="1"/>
  <c r="F244" i="1"/>
  <c r="C132" i="1"/>
  <c r="G284" i="1"/>
  <c r="H244" i="1"/>
  <c r="G244" i="1"/>
  <c r="F132" i="1"/>
  <c r="H132" i="1" s="1"/>
  <c r="G132" i="1"/>
  <c r="E132" i="1"/>
  <c r="G76" i="1"/>
  <c r="D104" i="1" s="1"/>
  <c r="H76" i="1"/>
  <c r="D132" i="1" s="1"/>
  <c r="G104" i="1"/>
  <c r="E104" i="1"/>
  <c r="F104" i="1"/>
  <c r="H104" i="1" s="1"/>
  <c r="C104" i="1"/>
  <c r="G285" i="1"/>
  <c r="H285" i="1" s="1"/>
  <c r="F245" i="1"/>
  <c r="F285" i="1"/>
  <c r="C133" i="1"/>
  <c r="G245" i="1"/>
  <c r="C105" i="1"/>
  <c r="H77" i="1"/>
  <c r="D133" i="1" s="1"/>
  <c r="G77" i="1"/>
  <c r="D105" i="1" s="1"/>
  <c r="F155" i="1"/>
  <c r="E155" i="1"/>
  <c r="E152" i="1"/>
  <c r="F152" i="1"/>
  <c r="E187" i="1"/>
  <c r="F187" i="1"/>
  <c r="E148" i="1"/>
  <c r="F148" i="1"/>
  <c r="D248" i="2"/>
  <c r="E248" i="2" s="1"/>
  <c r="E156" i="2"/>
  <c r="F156" i="2"/>
  <c r="F181" i="2"/>
  <c r="E181" i="2"/>
  <c r="H213" i="1"/>
  <c r="I213" i="1"/>
  <c r="E278" i="1"/>
  <c r="D278" i="1"/>
  <c r="D231" i="1"/>
  <c r="E231" i="1" s="1"/>
  <c r="G269" i="1"/>
  <c r="F269" i="1"/>
  <c r="H269" i="1" s="1"/>
  <c r="G229" i="1"/>
  <c r="F229" i="1"/>
  <c r="C117" i="1"/>
  <c r="C89" i="1"/>
  <c r="G61" i="1"/>
  <c r="D89" i="1" s="1"/>
  <c r="H61" i="1"/>
  <c r="D117" i="1" s="1"/>
  <c r="I208" i="2"/>
  <c r="H208" i="2"/>
  <c r="D268" i="2"/>
  <c r="E268" i="2" s="1"/>
  <c r="K268" i="2" s="1"/>
  <c r="D277" i="2"/>
  <c r="E277" i="2" s="1"/>
  <c r="D279" i="2"/>
  <c r="E279" i="2" s="1"/>
  <c r="D288" i="2"/>
  <c r="E288" i="2" s="1"/>
  <c r="D289" i="2"/>
  <c r="E289" i="2" s="1"/>
  <c r="D274" i="2"/>
  <c r="E274" i="2" s="1"/>
  <c r="E275" i="2"/>
  <c r="D275" i="2"/>
  <c r="F270" i="2"/>
  <c r="G270" i="2" s="1"/>
  <c r="H270" i="2" s="1"/>
  <c r="G229" i="2"/>
  <c r="H229" i="2" s="1"/>
  <c r="F229" i="2"/>
  <c r="F118" i="2"/>
  <c r="C118" i="2"/>
  <c r="C90" i="2"/>
  <c r="H62" i="2"/>
  <c r="D118" i="2" s="1"/>
  <c r="G62" i="2"/>
  <c r="D90" i="2" s="1"/>
  <c r="G90" i="2"/>
  <c r="G267" i="2"/>
  <c r="F226" i="2"/>
  <c r="F267" i="2"/>
  <c r="H267" i="2" s="1"/>
  <c r="G226" i="2"/>
  <c r="H226" i="2" s="1"/>
  <c r="E87" i="2"/>
  <c r="H59" i="2"/>
  <c r="D115" i="2" s="1"/>
  <c r="G59" i="2"/>
  <c r="D87" i="2" s="1"/>
  <c r="C115" i="2"/>
  <c r="C87" i="2"/>
  <c r="H276" i="2"/>
  <c r="G276" i="2"/>
  <c r="H235" i="2"/>
  <c r="F276" i="2"/>
  <c r="G235" i="2"/>
  <c r="H68" i="2"/>
  <c r="D124" i="2" s="1"/>
  <c r="E96" i="2"/>
  <c r="F235" i="2"/>
  <c r="C124" i="2"/>
  <c r="C96" i="2"/>
  <c r="G68" i="2"/>
  <c r="D96" i="2" s="1"/>
  <c r="G271" i="2"/>
  <c r="F271" i="2"/>
  <c r="G230" i="2"/>
  <c r="H230" i="2" s="1"/>
  <c r="F230" i="2"/>
  <c r="G91" i="2"/>
  <c r="C119" i="2"/>
  <c r="C91" i="2"/>
  <c r="H63" i="2"/>
  <c r="D119" i="2" s="1"/>
  <c r="G63" i="2"/>
  <c r="D91" i="2" s="1"/>
  <c r="H286" i="2"/>
  <c r="G286" i="2"/>
  <c r="H245" i="2"/>
  <c r="F286" i="2"/>
  <c r="G245" i="2"/>
  <c r="F245" i="2"/>
  <c r="G78" i="2"/>
  <c r="D106" i="2" s="1"/>
  <c r="C134" i="2"/>
  <c r="C106" i="2"/>
  <c r="H78" i="2"/>
  <c r="D134" i="2" s="1"/>
  <c r="F157" i="2"/>
  <c r="E157" i="2"/>
  <c r="E179" i="2"/>
  <c r="F179" i="2"/>
  <c r="F178" i="2"/>
  <c r="E178" i="2"/>
  <c r="E191" i="2"/>
  <c r="F191" i="2"/>
  <c r="E268" i="1"/>
  <c r="D268" i="1"/>
  <c r="D272" i="1"/>
  <c r="E272" i="1" s="1"/>
  <c r="D243" i="1"/>
  <c r="E243" i="1" s="1"/>
  <c r="D244" i="1"/>
  <c r="E244" i="1" s="1"/>
  <c r="E279" i="1"/>
  <c r="D279" i="1"/>
  <c r="D277" i="1"/>
  <c r="E277" i="1" s="1"/>
  <c r="D282" i="1"/>
  <c r="E282" i="1" s="1"/>
  <c r="G88" i="2"/>
  <c r="I214" i="1"/>
  <c r="H214" i="1"/>
  <c r="E151" i="1"/>
  <c r="F151" i="1"/>
  <c r="C131" i="1"/>
  <c r="G283" i="1"/>
  <c r="C103" i="1"/>
  <c r="F283" i="1"/>
  <c r="G75" i="1"/>
  <c r="D103" i="1" s="1"/>
  <c r="H75" i="1"/>
  <c r="D131" i="1" s="1"/>
  <c r="F103" i="1"/>
  <c r="F243" i="1"/>
  <c r="G243" i="1" s="1"/>
  <c r="H243" i="1" s="1"/>
  <c r="E143" i="1"/>
  <c r="F143" i="1"/>
  <c r="F147" i="1"/>
  <c r="E147" i="1"/>
  <c r="E146" i="1"/>
  <c r="F146" i="1"/>
  <c r="E160" i="1"/>
  <c r="F160" i="1"/>
  <c r="F193" i="1"/>
  <c r="E193" i="1"/>
  <c r="E156" i="1"/>
  <c r="F156" i="1"/>
  <c r="E189" i="1"/>
  <c r="F189" i="1"/>
  <c r="H215" i="2"/>
  <c r="I215" i="2"/>
  <c r="D228" i="2"/>
  <c r="E228" i="2" s="1"/>
  <c r="F193" i="2"/>
  <c r="E193" i="2"/>
  <c r="F185" i="2"/>
  <c r="E185" i="2"/>
  <c r="F192" i="2"/>
  <c r="E192" i="2"/>
  <c r="I220" i="1"/>
  <c r="H220" i="1"/>
  <c r="D289" i="1"/>
  <c r="E289" i="1" s="1"/>
  <c r="D245" i="2"/>
  <c r="E245" i="2" s="1"/>
  <c r="D243" i="2"/>
  <c r="E243" i="2" s="1"/>
  <c r="E270" i="2"/>
  <c r="D270" i="2"/>
  <c r="D244" i="2"/>
  <c r="E244" i="2"/>
  <c r="D269" i="2"/>
  <c r="E269" i="2" s="1"/>
  <c r="D280" i="2"/>
  <c r="E280" i="2" s="1"/>
  <c r="D267" i="2"/>
  <c r="E267" i="2" s="1"/>
  <c r="D230" i="2"/>
  <c r="E230" i="2" s="1"/>
  <c r="D276" i="2"/>
  <c r="E276" i="2"/>
  <c r="D285" i="2"/>
  <c r="E285" i="2" s="1"/>
  <c r="D287" i="2"/>
  <c r="E287" i="2" s="1"/>
  <c r="I204" i="2"/>
  <c r="H204" i="2"/>
  <c r="H203" i="2"/>
  <c r="I203" i="2"/>
  <c r="D282" i="2"/>
  <c r="E282" i="2"/>
  <c r="D283" i="2"/>
  <c r="E283" i="2" s="1"/>
  <c r="F232" i="2"/>
  <c r="G273" i="2"/>
  <c r="F273" i="2"/>
  <c r="G232" i="2"/>
  <c r="C121" i="2"/>
  <c r="C93" i="2"/>
  <c r="G93" i="2"/>
  <c r="E93" i="2"/>
  <c r="H65" i="2"/>
  <c r="D121" i="2" s="1"/>
  <c r="F121" i="2"/>
  <c r="G65" i="2"/>
  <c r="D93" i="2" s="1"/>
  <c r="F93" i="2"/>
  <c r="G275" i="2"/>
  <c r="H275" i="2" s="1"/>
  <c r="F234" i="2"/>
  <c r="F275" i="2"/>
  <c r="G234" i="2"/>
  <c r="F95" i="2"/>
  <c r="E95" i="2"/>
  <c r="H67" i="2"/>
  <c r="D123" i="2" s="1"/>
  <c r="G123" i="2"/>
  <c r="G95" i="2"/>
  <c r="C95" i="2"/>
  <c r="G67" i="2"/>
  <c r="D95" i="2" s="1"/>
  <c r="C123" i="2"/>
  <c r="F282" i="2"/>
  <c r="F241" i="2"/>
  <c r="G241" i="2" s="1"/>
  <c r="H241" i="2" s="1"/>
  <c r="G282" i="2"/>
  <c r="H282" i="2" s="1"/>
  <c r="H74" i="2"/>
  <c r="D130" i="2" s="1"/>
  <c r="G74" i="2"/>
  <c r="D102" i="2" s="1"/>
  <c r="C130" i="2"/>
  <c r="C102" i="2"/>
  <c r="G279" i="2"/>
  <c r="H279" i="2" s="1"/>
  <c r="F279" i="2"/>
  <c r="G238" i="2"/>
  <c r="F238" i="2"/>
  <c r="E99" i="2"/>
  <c r="G71" i="2"/>
  <c r="D99" i="2" s="1"/>
  <c r="G127" i="2"/>
  <c r="G99" i="2"/>
  <c r="F127" i="2"/>
  <c r="H127" i="2" s="1"/>
  <c r="F99" i="2"/>
  <c r="H99" i="2" s="1"/>
  <c r="C127" i="2"/>
  <c r="C99" i="2"/>
  <c r="H71" i="2"/>
  <c r="D127" i="2" s="1"/>
  <c r="F143" i="2"/>
  <c r="E143" i="2"/>
  <c r="H143" i="2" s="1"/>
  <c r="F159" i="2"/>
  <c r="E159" i="2"/>
  <c r="H159" i="2" s="1"/>
  <c r="G277" i="2"/>
  <c r="F277" i="2"/>
  <c r="G236" i="2"/>
  <c r="F236" i="2"/>
  <c r="F97" i="2"/>
  <c r="C125" i="2"/>
  <c r="C97" i="2"/>
  <c r="H69" i="2"/>
  <c r="D125" i="2" s="1"/>
  <c r="G69" i="2"/>
  <c r="D97" i="2" s="1"/>
  <c r="F186" i="2"/>
  <c r="E186" i="2"/>
  <c r="G186" i="2" s="1"/>
  <c r="H186" i="2" s="1"/>
  <c r="J186" i="2" s="1"/>
  <c r="E174" i="2"/>
  <c r="F174" i="2"/>
  <c r="H207" i="1"/>
  <c r="I207" i="1"/>
  <c r="H215" i="1"/>
  <c r="I215" i="1"/>
  <c r="H205" i="1"/>
  <c r="I205" i="1"/>
  <c r="D246" i="1"/>
  <c r="E246" i="1" s="1"/>
  <c r="D245" i="1"/>
  <c r="E245" i="1" s="1"/>
  <c r="D284" i="1"/>
  <c r="E284" i="1" s="1"/>
  <c r="D287" i="1"/>
  <c r="E287" i="1" s="1"/>
  <c r="D267" i="1"/>
  <c r="E267" i="1" s="1"/>
  <c r="G116" i="2"/>
  <c r="I206" i="1"/>
  <c r="H206" i="1"/>
  <c r="E165" i="1"/>
  <c r="H165" i="1" s="1"/>
  <c r="F165" i="1"/>
  <c r="F163" i="1"/>
  <c r="E163" i="1"/>
  <c r="G281" i="1"/>
  <c r="G241" i="1"/>
  <c r="F281" i="1"/>
  <c r="F241" i="1"/>
  <c r="H281" i="1"/>
  <c r="C129" i="1"/>
  <c r="C101" i="1"/>
  <c r="H241" i="1"/>
  <c r="H73" i="1"/>
  <c r="D129" i="1" s="1"/>
  <c r="G73" i="1"/>
  <c r="D101" i="1" s="1"/>
  <c r="F129" i="1"/>
  <c r="F228" i="1"/>
  <c r="F268" i="1"/>
  <c r="G268" i="1"/>
  <c r="H268" i="1" s="1"/>
  <c r="G228" i="1"/>
  <c r="C116" i="1"/>
  <c r="H60" i="1"/>
  <c r="D116" i="1" s="1"/>
  <c r="C88" i="1"/>
  <c r="G116" i="1"/>
  <c r="G60" i="1"/>
  <c r="D88" i="1" s="1"/>
  <c r="G88" i="1"/>
  <c r="E154" i="1"/>
  <c r="F154" i="1"/>
  <c r="E142" i="1"/>
  <c r="F142" i="1"/>
  <c r="E145" i="1"/>
  <c r="F145" i="1"/>
  <c r="E164" i="1"/>
  <c r="F164" i="1"/>
  <c r="F172" i="1"/>
  <c r="E172" i="1"/>
  <c r="D237" i="2"/>
  <c r="E237" i="2" s="1"/>
  <c r="F151" i="2"/>
  <c r="E151" i="2"/>
  <c r="I219" i="1"/>
  <c r="H219" i="1"/>
  <c r="E178" i="1"/>
  <c r="F178" i="1"/>
  <c r="D236" i="2"/>
  <c r="E236" i="2" s="1"/>
  <c r="E272" i="2"/>
  <c r="D272" i="2"/>
  <c r="D242" i="2"/>
  <c r="E242" i="2" s="1"/>
  <c r="D281" i="2"/>
  <c r="E281" i="2" s="1"/>
  <c r="I205" i="2"/>
  <c r="H205" i="2"/>
  <c r="D278" i="2"/>
  <c r="E278" i="2" s="1"/>
  <c r="D284" i="2"/>
  <c r="E284" i="2" s="1"/>
  <c r="H206" i="2"/>
  <c r="I206" i="2"/>
  <c r="H213" i="2"/>
  <c r="I213" i="2"/>
  <c r="I212" i="2"/>
  <c r="H212" i="2"/>
  <c r="I211" i="2"/>
  <c r="H211" i="2"/>
  <c r="I210" i="2"/>
  <c r="H210" i="2"/>
  <c r="C300" i="1"/>
  <c r="G283" i="2"/>
  <c r="H283" i="2" s="1"/>
  <c r="F242" i="2"/>
  <c r="G242" i="2" s="1"/>
  <c r="H242" i="2" s="1"/>
  <c r="F283" i="2"/>
  <c r="E131" i="2"/>
  <c r="H75" i="2"/>
  <c r="D131" i="2" s="1"/>
  <c r="G131" i="2"/>
  <c r="C131" i="2"/>
  <c r="C103" i="2"/>
  <c r="G75" i="2"/>
  <c r="D103" i="2" s="1"/>
  <c r="F142" i="2"/>
  <c r="E142" i="2"/>
  <c r="G287" i="2"/>
  <c r="H287" i="2" s="1"/>
  <c r="F287" i="2"/>
  <c r="F246" i="2"/>
  <c r="G246" i="2" s="1"/>
  <c r="H246" i="2" s="1"/>
  <c r="G79" i="2"/>
  <c r="D107" i="2" s="1"/>
  <c r="H79" i="2"/>
  <c r="D135" i="2" s="1"/>
  <c r="C135" i="2"/>
  <c r="C107" i="2"/>
  <c r="E144" i="2"/>
  <c r="F144" i="2"/>
  <c r="E187" i="2"/>
  <c r="F187" i="2"/>
  <c r="F145" i="2"/>
  <c r="E145" i="2"/>
  <c r="F161" i="2"/>
  <c r="E161" i="2"/>
  <c r="G285" i="2"/>
  <c r="H285" i="2" s="1"/>
  <c r="F285" i="2"/>
  <c r="G244" i="2"/>
  <c r="H244" i="2" s="1"/>
  <c r="F244" i="2"/>
  <c r="G133" i="2"/>
  <c r="F133" i="2"/>
  <c r="H133" i="2" s="1"/>
  <c r="C133" i="2"/>
  <c r="C105" i="2"/>
  <c r="H77" i="2"/>
  <c r="D133" i="2" s="1"/>
  <c r="G77" i="2"/>
  <c r="D105" i="2" s="1"/>
  <c r="E182" i="2"/>
  <c r="F182" i="2"/>
  <c r="I209" i="1"/>
  <c r="H209" i="1"/>
  <c r="I217" i="1"/>
  <c r="H217" i="1"/>
  <c r="D226" i="1"/>
  <c r="E226" i="1" s="1"/>
  <c r="D281" i="1"/>
  <c r="E281" i="1" s="1"/>
  <c r="D280" i="1"/>
  <c r="E280" i="1" s="1"/>
  <c r="D288" i="1"/>
  <c r="E288" i="1" s="1"/>
  <c r="D249" i="1"/>
  <c r="E249" i="1" s="1"/>
  <c r="D275" i="1"/>
  <c r="E275" i="1" s="1"/>
  <c r="G271" i="1"/>
  <c r="F271" i="1"/>
  <c r="H271" i="1" s="1"/>
  <c r="G231" i="1"/>
  <c r="F231" i="1"/>
  <c r="C119" i="1"/>
  <c r="G63" i="1"/>
  <c r="D91" i="1" s="1"/>
  <c r="C91" i="1"/>
  <c r="H63" i="1"/>
  <c r="D119" i="1" s="1"/>
  <c r="E157" i="1"/>
  <c r="F157" i="1"/>
  <c r="F249" i="1"/>
  <c r="E137" i="1"/>
  <c r="C137" i="1"/>
  <c r="G289" i="1"/>
  <c r="H289" i="1" s="1"/>
  <c r="F289" i="1"/>
  <c r="E109" i="1"/>
  <c r="C109" i="1"/>
  <c r="G249" i="1"/>
  <c r="H249" i="1" s="1"/>
  <c r="G109" i="1"/>
  <c r="H81" i="1"/>
  <c r="D137" i="1" s="1"/>
  <c r="F137" i="1"/>
  <c r="G81" i="1"/>
  <c r="D109" i="1" s="1"/>
  <c r="F109" i="1"/>
  <c r="F272" i="1"/>
  <c r="G272" i="1"/>
  <c r="H272" i="1" s="1"/>
  <c r="G232" i="1"/>
  <c r="F232" i="1"/>
  <c r="C92" i="1"/>
  <c r="G64" i="1"/>
  <c r="D92" i="1" s="1"/>
  <c r="H64" i="1"/>
  <c r="D120" i="1" s="1"/>
  <c r="C120" i="1"/>
  <c r="E162" i="1"/>
  <c r="F162" i="1"/>
  <c r="E150" i="1"/>
  <c r="F150" i="1"/>
  <c r="E153" i="1"/>
  <c r="F153" i="1"/>
  <c r="F174" i="1"/>
  <c r="E174" i="1"/>
  <c r="F180" i="1"/>
  <c r="E180" i="1"/>
  <c r="I209" i="2"/>
  <c r="H209" i="2"/>
  <c r="I216" i="2"/>
  <c r="H216" i="2"/>
  <c r="I214" i="2"/>
  <c r="H214" i="2"/>
  <c r="D232" i="2"/>
  <c r="E232" i="2" s="1"/>
  <c r="D225" i="2"/>
  <c r="E225" i="2" s="1"/>
  <c r="I219" i="2"/>
  <c r="H219" i="2"/>
  <c r="I218" i="2"/>
  <c r="H218" i="2"/>
  <c r="F272" i="2"/>
  <c r="G231" i="2"/>
  <c r="H231" i="2" s="1"/>
  <c r="F231" i="2"/>
  <c r="G272" i="2"/>
  <c r="H272" i="2" s="1"/>
  <c r="C120" i="2"/>
  <c r="C92" i="2"/>
  <c r="G64" i="2"/>
  <c r="D92" i="2" s="1"/>
  <c r="G92" i="2"/>
  <c r="H64" i="2"/>
  <c r="D120" i="2" s="1"/>
  <c r="F146" i="2"/>
  <c r="E146" i="2"/>
  <c r="H146" i="2" s="1"/>
  <c r="F177" i="2"/>
  <c r="E177" i="2"/>
  <c r="G177" i="2" s="1"/>
  <c r="H177" i="2" s="1"/>
  <c r="J177" i="2" s="1"/>
  <c r="E148" i="2"/>
  <c r="F148" i="2"/>
  <c r="F240" i="2"/>
  <c r="G281" i="2"/>
  <c r="F281" i="2"/>
  <c r="G240" i="2"/>
  <c r="H240" i="2" s="1"/>
  <c r="C129" i="2"/>
  <c r="C101" i="2"/>
  <c r="H73" i="2"/>
  <c r="D129" i="2" s="1"/>
  <c r="G73" i="2"/>
  <c r="D101" i="2" s="1"/>
  <c r="F129" i="2"/>
  <c r="F147" i="2"/>
  <c r="E147" i="2"/>
  <c r="H147" i="2" s="1"/>
  <c r="F163" i="2"/>
  <c r="E163" i="2"/>
  <c r="H163" i="2" s="1"/>
  <c r="F172" i="2"/>
  <c r="E172" i="2"/>
  <c r="G172" i="2" s="1"/>
  <c r="H172" i="2" s="1"/>
  <c r="J172" i="2" s="1"/>
  <c r="F176" i="2"/>
  <c r="E176" i="2"/>
  <c r="G176" i="2" s="1"/>
  <c r="H176" i="2" s="1"/>
  <c r="J176" i="2" s="1"/>
  <c r="E190" i="2"/>
  <c r="F190" i="2"/>
  <c r="D232" i="1"/>
  <c r="E232" i="1" s="1"/>
  <c r="D240" i="1"/>
  <c r="E240" i="1" s="1"/>
  <c r="D242" i="1"/>
  <c r="E242" i="1" s="1"/>
  <c r="D285" i="1"/>
  <c r="E285" i="1" s="1"/>
  <c r="I210" i="1"/>
  <c r="H210" i="1"/>
  <c r="I208" i="1"/>
  <c r="H208" i="1"/>
  <c r="E270" i="1"/>
  <c r="D270" i="1"/>
  <c r="D283" i="1"/>
  <c r="E283" i="1"/>
  <c r="F88" i="2"/>
  <c r="H88" i="2" s="1"/>
  <c r="G270" i="1"/>
  <c r="F270" i="1"/>
  <c r="G118" i="1"/>
  <c r="F230" i="1"/>
  <c r="G230" i="1" s="1"/>
  <c r="H230" i="1" s="1"/>
  <c r="H62" i="1"/>
  <c r="D118" i="1" s="1"/>
  <c r="C118" i="1"/>
  <c r="C90" i="1"/>
  <c r="G62" i="1"/>
  <c r="D90" i="1" s="1"/>
  <c r="H273" i="1"/>
  <c r="G273" i="1"/>
  <c r="G233" i="1"/>
  <c r="H233" i="1" s="1"/>
  <c r="F233" i="1"/>
  <c r="C121" i="1"/>
  <c r="C93" i="1"/>
  <c r="F273" i="1"/>
  <c r="H65" i="1"/>
  <c r="D121" i="1" s="1"/>
  <c r="G93" i="1"/>
  <c r="F93" i="1"/>
  <c r="H93" i="1" s="1"/>
  <c r="G65" i="1"/>
  <c r="D93" i="1" s="1"/>
  <c r="H267" i="1"/>
  <c r="G267" i="1"/>
  <c r="G227" i="1"/>
  <c r="C115" i="1"/>
  <c r="H227" i="1"/>
  <c r="F267" i="1"/>
  <c r="C87" i="1"/>
  <c r="G59" i="1"/>
  <c r="D87" i="1" s="1"/>
  <c r="F227" i="1"/>
  <c r="G87" i="1"/>
  <c r="H59" i="1"/>
  <c r="D115" i="1" s="1"/>
  <c r="F280" i="1"/>
  <c r="G240" i="1"/>
  <c r="F240" i="1"/>
  <c r="G280" i="1"/>
  <c r="H280" i="1" s="1"/>
  <c r="C100" i="1"/>
  <c r="H72" i="1"/>
  <c r="D128" i="1" s="1"/>
  <c r="C128" i="1"/>
  <c r="G72" i="1"/>
  <c r="D100" i="1" s="1"/>
  <c r="F176" i="1"/>
  <c r="E176" i="1"/>
  <c r="E158" i="1"/>
  <c r="H158" i="1" s="1"/>
  <c r="F158" i="1"/>
  <c r="E161" i="1"/>
  <c r="H161" i="1" s="1"/>
  <c r="F161" i="1"/>
  <c r="F182" i="1"/>
  <c r="E182" i="1"/>
  <c r="F188" i="1"/>
  <c r="E188" i="1"/>
  <c r="D241" i="2"/>
  <c r="E241" i="2" s="1"/>
  <c r="D246" i="2"/>
  <c r="E246" i="2" s="1"/>
  <c r="I217" i="2"/>
  <c r="H217" i="2"/>
  <c r="E229" i="2"/>
  <c r="D229" i="2"/>
  <c r="D231" i="2"/>
  <c r="E231" i="2" s="1"/>
  <c r="D240" i="2"/>
  <c r="E240" i="2" s="1"/>
  <c r="D233" i="2"/>
  <c r="E233" i="2" s="1"/>
  <c r="D226" i="2"/>
  <c r="E226" i="2" s="1"/>
  <c r="E227" i="2"/>
  <c r="D227" i="2"/>
  <c r="F150" i="2"/>
  <c r="E150" i="2"/>
  <c r="G269" i="2"/>
  <c r="F269" i="2"/>
  <c r="H269" i="2" s="1"/>
  <c r="G228" i="2"/>
  <c r="F228" i="2"/>
  <c r="F89" i="2"/>
  <c r="C117" i="2"/>
  <c r="C89" i="2"/>
  <c r="E117" i="2"/>
  <c r="E89" i="2"/>
  <c r="H61" i="2"/>
  <c r="D117" i="2" s="1"/>
  <c r="G61" i="2"/>
  <c r="D89" i="2" s="1"/>
  <c r="E152" i="2"/>
  <c r="F152" i="2"/>
  <c r="F248" i="2"/>
  <c r="G289" i="2"/>
  <c r="H248" i="2"/>
  <c r="F289" i="2"/>
  <c r="H289" i="2" s="1"/>
  <c r="G248" i="2"/>
  <c r="C137" i="2"/>
  <c r="C109" i="2"/>
  <c r="H81" i="2"/>
  <c r="D137" i="2" s="1"/>
  <c r="G81" i="2"/>
  <c r="D109" i="2" s="1"/>
  <c r="G137" i="2"/>
  <c r="F137" i="2"/>
  <c r="F149" i="2"/>
  <c r="E149" i="2"/>
  <c r="F165" i="2"/>
  <c r="E165" i="2"/>
  <c r="F173" i="2"/>
  <c r="E173" i="2"/>
  <c r="F184" i="2"/>
  <c r="E184" i="2"/>
  <c r="E286" i="1"/>
  <c r="D286" i="1"/>
  <c r="E241" i="1"/>
  <c r="D241" i="1"/>
  <c r="E248" i="1"/>
  <c r="D248" i="1"/>
  <c r="H212" i="1"/>
  <c r="I212" i="1"/>
  <c r="I211" i="1"/>
  <c r="H211" i="1"/>
  <c r="I218" i="1"/>
  <c r="H218" i="1"/>
  <c r="I216" i="1"/>
  <c r="H216" i="1"/>
  <c r="E276" i="1"/>
  <c r="D276" i="1"/>
  <c r="F116" i="2"/>
  <c r="H116" i="2" s="1"/>
  <c r="E159" i="1"/>
  <c r="F159" i="1"/>
  <c r="G278" i="1"/>
  <c r="H278" i="1" s="1"/>
  <c r="G238" i="1"/>
  <c r="F278" i="1"/>
  <c r="F238" i="1"/>
  <c r="G126" i="1"/>
  <c r="F126" i="1"/>
  <c r="H70" i="1"/>
  <c r="D126" i="1" s="1"/>
  <c r="E98" i="1"/>
  <c r="G70" i="1"/>
  <c r="D98" i="1" s="1"/>
  <c r="E126" i="1"/>
  <c r="C98" i="1"/>
  <c r="C126" i="1"/>
  <c r="F288" i="1"/>
  <c r="G248" i="1"/>
  <c r="H248" i="1" s="1"/>
  <c r="F248" i="1"/>
  <c r="H288" i="1"/>
  <c r="C136" i="1"/>
  <c r="F108" i="1"/>
  <c r="H108" i="1" s="1"/>
  <c r="E108" i="1"/>
  <c r="G288" i="1"/>
  <c r="C108" i="1"/>
  <c r="G80" i="1"/>
  <c r="D108" i="1" s="1"/>
  <c r="H80" i="1"/>
  <c r="D136" i="1" s="1"/>
  <c r="G108" i="1"/>
  <c r="G136" i="1"/>
  <c r="G266" i="1"/>
  <c r="F266" i="1"/>
  <c r="F226" i="1"/>
  <c r="C114" i="1"/>
  <c r="C86" i="1"/>
  <c r="H58" i="1"/>
  <c r="D114" i="1" s="1"/>
  <c r="G226" i="1"/>
  <c r="H226" i="1" s="1"/>
  <c r="G58" i="1"/>
  <c r="G86" i="1" s="1"/>
  <c r="F184" i="1"/>
  <c r="E184" i="1"/>
  <c r="F177" i="1"/>
  <c r="E177" i="1"/>
  <c r="G177" i="1" s="1"/>
  <c r="H177" i="1" s="1"/>
  <c r="J177" i="1" s="1"/>
  <c r="F175" i="1"/>
  <c r="E175" i="1"/>
  <c r="G175" i="1" s="1"/>
  <c r="H175" i="1" s="1"/>
  <c r="J175" i="1" s="1"/>
  <c r="F190" i="1"/>
  <c r="E190" i="1"/>
  <c r="G190" i="1" s="1"/>
  <c r="H190" i="1" s="1"/>
  <c r="J190" i="1" s="1"/>
  <c r="F170" i="1"/>
  <c r="E170" i="1"/>
  <c r="H266" i="1" l="1"/>
  <c r="H270" i="1"/>
  <c r="G120" i="2"/>
  <c r="G174" i="1"/>
  <c r="H174" i="1" s="1"/>
  <c r="J174" i="1" s="1"/>
  <c r="H232" i="1"/>
  <c r="G105" i="2"/>
  <c r="H145" i="2"/>
  <c r="F107" i="2"/>
  <c r="H164" i="1"/>
  <c r="H277" i="2"/>
  <c r="H238" i="2"/>
  <c r="F130" i="2"/>
  <c r="G185" i="2"/>
  <c r="H185" i="2" s="1"/>
  <c r="J185" i="2" s="1"/>
  <c r="G191" i="2"/>
  <c r="H191" i="2" s="1"/>
  <c r="J191" i="2" s="1"/>
  <c r="F89" i="1"/>
  <c r="H156" i="2"/>
  <c r="F106" i="1"/>
  <c r="H106" i="1" s="1"/>
  <c r="F136" i="2"/>
  <c r="H247" i="2"/>
  <c r="E98" i="2"/>
  <c r="F97" i="1"/>
  <c r="H93" i="2"/>
  <c r="E128" i="2"/>
  <c r="H238" i="1"/>
  <c r="E90" i="1"/>
  <c r="F101" i="2"/>
  <c r="H281" i="2"/>
  <c r="G120" i="1"/>
  <c r="H231" i="1"/>
  <c r="E133" i="2"/>
  <c r="G135" i="2"/>
  <c r="H145" i="1"/>
  <c r="H232" i="2"/>
  <c r="G193" i="2"/>
  <c r="H193" i="2" s="1"/>
  <c r="J193" i="2" s="1"/>
  <c r="H147" i="1"/>
  <c r="F131" i="1"/>
  <c r="E106" i="2"/>
  <c r="E124" i="2"/>
  <c r="F87" i="2"/>
  <c r="F181" i="1"/>
  <c r="G181" i="1" s="1"/>
  <c r="H181" i="1" s="1"/>
  <c r="J181" i="1" s="1"/>
  <c r="H155" i="1"/>
  <c r="F133" i="1"/>
  <c r="F134" i="1"/>
  <c r="H134" i="1" s="1"/>
  <c r="H155" i="2"/>
  <c r="F98" i="2"/>
  <c r="H162" i="2"/>
  <c r="G94" i="1"/>
  <c r="E135" i="1"/>
  <c r="H277" i="1"/>
  <c r="H243" i="2"/>
  <c r="E101" i="2"/>
  <c r="F125" i="2"/>
  <c r="G105" i="1"/>
  <c r="H122" i="1"/>
  <c r="H94" i="1"/>
  <c r="E121" i="1"/>
  <c r="H152" i="2"/>
  <c r="F117" i="2"/>
  <c r="E100" i="1"/>
  <c r="G101" i="2"/>
  <c r="E120" i="2"/>
  <c r="E107" i="2"/>
  <c r="H142" i="2"/>
  <c r="H142" i="1"/>
  <c r="G125" i="2"/>
  <c r="H273" i="2"/>
  <c r="G193" i="1"/>
  <c r="H193" i="1" s="1"/>
  <c r="J193" i="1" s="1"/>
  <c r="G179" i="2"/>
  <c r="H179" i="2" s="1"/>
  <c r="J179" i="2" s="1"/>
  <c r="H271" i="2"/>
  <c r="G96" i="2"/>
  <c r="G87" i="2"/>
  <c r="E90" i="2"/>
  <c r="E89" i="1"/>
  <c r="H229" i="1"/>
  <c r="E105" i="1"/>
  <c r="H245" i="1"/>
  <c r="E106" i="1"/>
  <c r="H286" i="1"/>
  <c r="H236" i="1"/>
  <c r="G98" i="2"/>
  <c r="H98" i="2" s="1"/>
  <c r="H237" i="2"/>
  <c r="G180" i="2"/>
  <c r="H180" i="2" s="1"/>
  <c r="J180" i="2" s="1"/>
  <c r="E107" i="1"/>
  <c r="E99" i="1"/>
  <c r="G100" i="2"/>
  <c r="H284" i="2"/>
  <c r="H126" i="1"/>
  <c r="J126" i="1" s="1"/>
  <c r="F92" i="2"/>
  <c r="H92" i="2" s="1"/>
  <c r="E120" i="1"/>
  <c r="E135" i="2"/>
  <c r="H228" i="1"/>
  <c r="E102" i="2"/>
  <c r="H234" i="2"/>
  <c r="H283" i="1"/>
  <c r="E118" i="2"/>
  <c r="E133" i="1"/>
  <c r="G127" i="1"/>
  <c r="F100" i="1"/>
  <c r="G98" i="1"/>
  <c r="H228" i="2"/>
  <c r="G100" i="1"/>
  <c r="H240" i="1"/>
  <c r="F120" i="2"/>
  <c r="H120" i="2" s="1"/>
  <c r="K120" i="2" s="1"/>
  <c r="G180" i="1"/>
  <c r="H180" i="1" s="1"/>
  <c r="J180" i="1" s="1"/>
  <c r="F105" i="2"/>
  <c r="H105" i="2" s="1"/>
  <c r="H161" i="2"/>
  <c r="G178" i="1"/>
  <c r="H178" i="1" s="1"/>
  <c r="J178" i="1" s="1"/>
  <c r="H154" i="1"/>
  <c r="F116" i="1"/>
  <c r="G101" i="1"/>
  <c r="E125" i="2"/>
  <c r="H236" i="2"/>
  <c r="E130" i="2"/>
  <c r="E121" i="2"/>
  <c r="G192" i="2"/>
  <c r="H192" i="2" s="1"/>
  <c r="J192" i="2" s="1"/>
  <c r="F119" i="2"/>
  <c r="G118" i="2"/>
  <c r="H118" i="2" s="1"/>
  <c r="F90" i="2"/>
  <c r="G89" i="1"/>
  <c r="G133" i="1"/>
  <c r="E134" i="1"/>
  <c r="H278" i="2"/>
  <c r="H274" i="2"/>
  <c r="E123" i="1"/>
  <c r="F135" i="1"/>
  <c r="G107" i="1"/>
  <c r="H266" i="2"/>
  <c r="I266" i="2" s="1"/>
  <c r="J266" i="2" s="1"/>
  <c r="K266" i="2" s="1"/>
  <c r="I240" i="2"/>
  <c r="J240" i="2" s="1"/>
  <c r="K240" i="2" s="1"/>
  <c r="I247" i="1"/>
  <c r="J247" i="1" s="1"/>
  <c r="K247" i="1" s="1"/>
  <c r="J230" i="1"/>
  <c r="K230" i="1" s="1"/>
  <c r="I230" i="1"/>
  <c r="I289" i="2"/>
  <c r="J289" i="2" s="1"/>
  <c r="K289" i="2" s="1"/>
  <c r="J268" i="1"/>
  <c r="K268" i="1" s="1"/>
  <c r="I268" i="1"/>
  <c r="I284" i="1"/>
  <c r="J284" i="1" s="1"/>
  <c r="K284" i="1" s="1"/>
  <c r="I234" i="1"/>
  <c r="J234" i="1" s="1"/>
  <c r="K234" i="1" s="1"/>
  <c r="I279" i="1"/>
  <c r="J279" i="1" s="1"/>
  <c r="K279" i="1" s="1"/>
  <c r="I280" i="2"/>
  <c r="J280" i="2" s="1"/>
  <c r="K280" i="2" s="1"/>
  <c r="J266" i="1"/>
  <c r="I266" i="1"/>
  <c r="J270" i="1"/>
  <c r="K270" i="1" s="1"/>
  <c r="I270" i="1"/>
  <c r="I232" i="1"/>
  <c r="J232" i="1" s="1"/>
  <c r="K232" i="1" s="1"/>
  <c r="J277" i="2"/>
  <c r="I277" i="2"/>
  <c r="I238" i="2"/>
  <c r="J238" i="2" s="1"/>
  <c r="K238" i="2" s="1"/>
  <c r="I275" i="2"/>
  <c r="J275" i="2" s="1"/>
  <c r="K275" i="2" s="1"/>
  <c r="J285" i="1"/>
  <c r="K285" i="1" s="1"/>
  <c r="I285" i="1"/>
  <c r="I246" i="1"/>
  <c r="J246" i="1" s="1"/>
  <c r="K246" i="1" s="1"/>
  <c r="I247" i="2"/>
  <c r="J247" i="2" s="1"/>
  <c r="K247" i="2" s="1"/>
  <c r="I274" i="1"/>
  <c r="J274" i="1" s="1"/>
  <c r="K274" i="1" s="1"/>
  <c r="I267" i="2"/>
  <c r="J267" i="2" s="1"/>
  <c r="K267" i="2" s="1"/>
  <c r="I226" i="1"/>
  <c r="J226" i="1" s="1"/>
  <c r="K226" i="1" s="1"/>
  <c r="I281" i="2"/>
  <c r="J281" i="2" s="1"/>
  <c r="K281" i="2" s="1"/>
  <c r="I231" i="1"/>
  <c r="J231" i="1" s="1"/>
  <c r="K231" i="1" s="1"/>
  <c r="I282" i="2"/>
  <c r="J282" i="2" s="1"/>
  <c r="K282" i="2" s="1"/>
  <c r="J232" i="2"/>
  <c r="K232" i="2" s="1"/>
  <c r="I232" i="2"/>
  <c r="I277" i="1"/>
  <c r="J277" i="1" s="1"/>
  <c r="K277" i="1" s="1"/>
  <c r="I243" i="2"/>
  <c r="J243" i="2" s="1"/>
  <c r="K243" i="2" s="1"/>
  <c r="I239" i="2"/>
  <c r="J239" i="2" s="1"/>
  <c r="K239" i="2" s="1"/>
  <c r="I280" i="1"/>
  <c r="J280" i="1" s="1"/>
  <c r="K280" i="1" s="1"/>
  <c r="I244" i="2"/>
  <c r="J244" i="2" s="1"/>
  <c r="K244" i="2" s="1"/>
  <c r="I241" i="2"/>
  <c r="J241" i="2" s="1"/>
  <c r="K241" i="2" s="1"/>
  <c r="I239" i="1"/>
  <c r="J239" i="1" s="1"/>
  <c r="K239" i="1" s="1"/>
  <c r="I242" i="1"/>
  <c r="J242" i="1" s="1"/>
  <c r="K242" i="1" s="1"/>
  <c r="J273" i="2"/>
  <c r="K273" i="2" s="1"/>
  <c r="I273" i="2"/>
  <c r="I271" i="2"/>
  <c r="J271" i="2" s="1"/>
  <c r="K271" i="2" s="1"/>
  <c r="J229" i="1"/>
  <c r="K229" i="1" s="1"/>
  <c r="I229" i="1"/>
  <c r="J245" i="1"/>
  <c r="K245" i="1" s="1"/>
  <c r="I245" i="1"/>
  <c r="I286" i="1"/>
  <c r="J286" i="1" s="1"/>
  <c r="K286" i="1" s="1"/>
  <c r="I236" i="1"/>
  <c r="J236" i="1" s="1"/>
  <c r="K236" i="1" s="1"/>
  <c r="I237" i="2"/>
  <c r="J237" i="2" s="1"/>
  <c r="K237" i="2" s="1"/>
  <c r="I284" i="2"/>
  <c r="J284" i="2" s="1"/>
  <c r="K284" i="2" s="1"/>
  <c r="I233" i="1"/>
  <c r="J233" i="1" s="1"/>
  <c r="K233" i="1" s="1"/>
  <c r="J285" i="2"/>
  <c r="K285" i="2" s="1"/>
  <c r="I285" i="2"/>
  <c r="J242" i="2"/>
  <c r="K242" i="2" s="1"/>
  <c r="I242" i="2"/>
  <c r="I228" i="1"/>
  <c r="J228" i="1" s="1"/>
  <c r="K228" i="1" s="1"/>
  <c r="I234" i="2"/>
  <c r="J234" i="2" s="1"/>
  <c r="K234" i="2" s="1"/>
  <c r="J283" i="1"/>
  <c r="I283" i="1"/>
  <c r="I269" i="1"/>
  <c r="J269" i="1" s="1"/>
  <c r="K269" i="1" s="1"/>
  <c r="J228" i="2"/>
  <c r="I228" i="2"/>
  <c r="I240" i="1"/>
  <c r="J240" i="1" s="1"/>
  <c r="K240" i="1" s="1"/>
  <c r="I283" i="2"/>
  <c r="J283" i="2" s="1"/>
  <c r="K283" i="2" s="1"/>
  <c r="I236" i="2"/>
  <c r="J236" i="2" s="1"/>
  <c r="K236" i="2" s="1"/>
  <c r="J243" i="1"/>
  <c r="K243" i="1" s="1"/>
  <c r="I243" i="1"/>
  <c r="J278" i="2"/>
  <c r="K278" i="2" s="1"/>
  <c r="I278" i="2"/>
  <c r="I274" i="2"/>
  <c r="J274" i="2" s="1"/>
  <c r="K274" i="2" s="1"/>
  <c r="I275" i="1"/>
  <c r="J275" i="1" s="1"/>
  <c r="K275" i="1" s="1"/>
  <c r="F86" i="2"/>
  <c r="H159" i="1"/>
  <c r="H149" i="2"/>
  <c r="H101" i="2"/>
  <c r="H148" i="2"/>
  <c r="K92" i="2"/>
  <c r="J92" i="2"/>
  <c r="H153" i="1"/>
  <c r="G92" i="1"/>
  <c r="G91" i="1"/>
  <c r="G182" i="2"/>
  <c r="H182" i="2" s="1"/>
  <c r="J182" i="2" s="1"/>
  <c r="K133" i="2"/>
  <c r="J133" i="2"/>
  <c r="H144" i="2"/>
  <c r="H151" i="2"/>
  <c r="F88" i="1"/>
  <c r="H88" i="1" s="1"/>
  <c r="E101" i="1"/>
  <c r="J99" i="2"/>
  <c r="K99" i="2"/>
  <c r="H160" i="1"/>
  <c r="E131" i="1"/>
  <c r="H151" i="1"/>
  <c r="H157" i="2"/>
  <c r="E134" i="2"/>
  <c r="J230" i="2"/>
  <c r="K230" i="2" s="1"/>
  <c r="I230" i="2"/>
  <c r="G181" i="2"/>
  <c r="H181" i="2" s="1"/>
  <c r="J181" i="2" s="1"/>
  <c r="H133" i="1"/>
  <c r="G183" i="2"/>
  <c r="H183" i="2" s="1"/>
  <c r="J183" i="2" s="1"/>
  <c r="G179" i="1"/>
  <c r="H179" i="1" s="1"/>
  <c r="J179" i="1" s="1"/>
  <c r="I287" i="1"/>
  <c r="J287" i="1" s="1"/>
  <c r="K287" i="1" s="1"/>
  <c r="G186" i="1"/>
  <c r="H186" i="1" s="1"/>
  <c r="J186" i="1" s="1"/>
  <c r="H144" i="1"/>
  <c r="F102" i="1"/>
  <c r="G189" i="2"/>
  <c r="H189" i="2" s="1"/>
  <c r="J189" i="2" s="1"/>
  <c r="G128" i="2"/>
  <c r="F114" i="2"/>
  <c r="K108" i="1"/>
  <c r="J108" i="1"/>
  <c r="K227" i="2"/>
  <c r="K93" i="1"/>
  <c r="J93" i="1"/>
  <c r="I281" i="1"/>
  <c r="J281" i="1" s="1"/>
  <c r="K281" i="1" s="1"/>
  <c r="I233" i="2"/>
  <c r="J233" i="2" s="1"/>
  <c r="K233" i="2" s="1"/>
  <c r="J120" i="2"/>
  <c r="I289" i="1"/>
  <c r="J289" i="1" s="1"/>
  <c r="K289" i="1" s="1"/>
  <c r="G119" i="1"/>
  <c r="H116" i="1"/>
  <c r="E129" i="1"/>
  <c r="G97" i="2"/>
  <c r="J127" i="2"/>
  <c r="K127" i="2"/>
  <c r="G131" i="1"/>
  <c r="H131" i="1" s="1"/>
  <c r="I286" i="2"/>
  <c r="J286" i="2" s="1"/>
  <c r="K286" i="2" s="1"/>
  <c r="G119" i="2"/>
  <c r="H119" i="2" s="1"/>
  <c r="I276" i="2"/>
  <c r="J276" i="2" s="1"/>
  <c r="K276" i="2" s="1"/>
  <c r="E115" i="2"/>
  <c r="I270" i="2"/>
  <c r="J270" i="2" s="1"/>
  <c r="K270" i="2" s="1"/>
  <c r="J132" i="1"/>
  <c r="K132" i="1"/>
  <c r="J106" i="1"/>
  <c r="K106" i="1"/>
  <c r="G136" i="2"/>
  <c r="H136" i="2" s="1"/>
  <c r="G94" i="2"/>
  <c r="G130" i="1"/>
  <c r="F130" i="1"/>
  <c r="G86" i="2"/>
  <c r="G104" i="2"/>
  <c r="I227" i="1"/>
  <c r="J227" i="1" s="1"/>
  <c r="K227" i="1" s="1"/>
  <c r="K105" i="2"/>
  <c r="J105" i="2"/>
  <c r="I245" i="2"/>
  <c r="J245" i="2" s="1"/>
  <c r="K245" i="2" s="1"/>
  <c r="J288" i="2"/>
  <c r="K288" i="2" s="1"/>
  <c r="I288" i="2"/>
  <c r="J272" i="2"/>
  <c r="K272" i="2" s="1"/>
  <c r="I272" i="2"/>
  <c r="F86" i="1"/>
  <c r="H86" i="1" s="1"/>
  <c r="F136" i="1"/>
  <c r="H136" i="1" s="1"/>
  <c r="G184" i="2"/>
  <c r="H184" i="2" s="1"/>
  <c r="J184" i="2" s="1"/>
  <c r="F109" i="2"/>
  <c r="H89" i="2"/>
  <c r="G188" i="1"/>
  <c r="H188" i="1" s="1"/>
  <c r="J188" i="1" s="1"/>
  <c r="G176" i="1"/>
  <c r="H176" i="1" s="1"/>
  <c r="J176" i="1" s="1"/>
  <c r="G121" i="1"/>
  <c r="E129" i="2"/>
  <c r="H150" i="1"/>
  <c r="G137" i="1"/>
  <c r="H137" i="1" s="1"/>
  <c r="E105" i="2"/>
  <c r="E103" i="2"/>
  <c r="E88" i="1"/>
  <c r="J241" i="1"/>
  <c r="I241" i="1"/>
  <c r="E97" i="2"/>
  <c r="F102" i="2"/>
  <c r="G189" i="1"/>
  <c r="H189" i="1" s="1"/>
  <c r="J189" i="1" s="1"/>
  <c r="H146" i="1"/>
  <c r="G134" i="2"/>
  <c r="F106" i="2"/>
  <c r="E91" i="2"/>
  <c r="H90" i="2"/>
  <c r="E117" i="1"/>
  <c r="H148" i="1"/>
  <c r="J104" i="1"/>
  <c r="K104" i="1"/>
  <c r="F124" i="1"/>
  <c r="H124" i="1" s="1"/>
  <c r="G122" i="2"/>
  <c r="H107" i="1"/>
  <c r="G173" i="1"/>
  <c r="H173" i="1" s="1"/>
  <c r="J173" i="1" s="1"/>
  <c r="E125" i="1"/>
  <c r="H149" i="1"/>
  <c r="G114" i="2"/>
  <c r="G132" i="2"/>
  <c r="K241" i="1"/>
  <c r="I272" i="1"/>
  <c r="J272" i="1" s="1"/>
  <c r="K272" i="1" s="1"/>
  <c r="I226" i="2"/>
  <c r="J226" i="2" s="1"/>
  <c r="K226" i="2" s="1"/>
  <c r="I282" i="1"/>
  <c r="J282" i="1" s="1"/>
  <c r="K282" i="1" s="1"/>
  <c r="J248" i="1"/>
  <c r="I248" i="1"/>
  <c r="H130" i="2"/>
  <c r="F134" i="2"/>
  <c r="E119" i="2"/>
  <c r="G117" i="1"/>
  <c r="J244" i="1"/>
  <c r="K244" i="1" s="1"/>
  <c r="I244" i="1"/>
  <c r="K134" i="1"/>
  <c r="J134" i="1"/>
  <c r="E126" i="2"/>
  <c r="E94" i="2"/>
  <c r="K122" i="1"/>
  <c r="J122" i="1"/>
  <c r="I235" i="1"/>
  <c r="J235" i="1" s="1"/>
  <c r="K235" i="1" s="1"/>
  <c r="I237" i="1"/>
  <c r="J237" i="1" s="1"/>
  <c r="K237" i="1" s="1"/>
  <c r="E127" i="1"/>
  <c r="I225" i="2"/>
  <c r="J225" i="2" s="1"/>
  <c r="K225" i="2" s="1"/>
  <c r="G114" i="1"/>
  <c r="I246" i="2"/>
  <c r="J246" i="2" s="1"/>
  <c r="K246" i="2" s="1"/>
  <c r="I235" i="2"/>
  <c r="J235" i="2" s="1"/>
  <c r="K235" i="2" s="1"/>
  <c r="K266" i="1"/>
  <c r="K116" i="2"/>
  <c r="J116" i="2"/>
  <c r="I269" i="2"/>
  <c r="J269" i="2" s="1"/>
  <c r="K269" i="2" s="1"/>
  <c r="I273" i="1"/>
  <c r="J273" i="1" s="1"/>
  <c r="K273" i="1" s="1"/>
  <c r="E91" i="1"/>
  <c r="I287" i="2"/>
  <c r="J287" i="2" s="1"/>
  <c r="K287" i="2" s="1"/>
  <c r="E136" i="1"/>
  <c r="G173" i="2"/>
  <c r="H173" i="2" s="1"/>
  <c r="J173" i="2" s="1"/>
  <c r="E109" i="2"/>
  <c r="G89" i="2"/>
  <c r="H150" i="2"/>
  <c r="G182" i="1"/>
  <c r="H182" i="1" s="1"/>
  <c r="J182" i="1" s="1"/>
  <c r="E128" i="1"/>
  <c r="E87" i="1"/>
  <c r="E115" i="1"/>
  <c r="F121" i="1"/>
  <c r="H121" i="1" s="1"/>
  <c r="E118" i="1"/>
  <c r="F90" i="1"/>
  <c r="K88" i="2"/>
  <c r="J88" i="2"/>
  <c r="G129" i="2"/>
  <c r="H129" i="2" s="1"/>
  <c r="H162" i="1"/>
  <c r="E119" i="1"/>
  <c r="F135" i="2"/>
  <c r="H135" i="2" s="1"/>
  <c r="F103" i="2"/>
  <c r="G172" i="1"/>
  <c r="H172" i="1" s="1"/>
  <c r="J172" i="1" s="1"/>
  <c r="G129" i="1"/>
  <c r="E123" i="2"/>
  <c r="H156" i="1"/>
  <c r="G103" i="1"/>
  <c r="H103" i="1" s="1"/>
  <c r="G178" i="2"/>
  <c r="H178" i="2" s="1"/>
  <c r="J178" i="2" s="1"/>
  <c r="G106" i="2"/>
  <c r="G124" i="2"/>
  <c r="H87" i="2"/>
  <c r="G187" i="1"/>
  <c r="H187" i="1" s="1"/>
  <c r="J187" i="1" s="1"/>
  <c r="F105" i="1"/>
  <c r="H105" i="1" s="1"/>
  <c r="E124" i="1"/>
  <c r="E108" i="2"/>
  <c r="E122" i="2"/>
  <c r="G123" i="1"/>
  <c r="E130" i="1"/>
  <c r="F125" i="1"/>
  <c r="G171" i="1"/>
  <c r="H171" i="1" s="1"/>
  <c r="J171" i="1" s="1"/>
  <c r="F99" i="1"/>
  <c r="H100" i="2"/>
  <c r="F104" i="2"/>
  <c r="H104" i="2" s="1"/>
  <c r="J248" i="2"/>
  <c r="K248" i="2" s="1"/>
  <c r="I248" i="2"/>
  <c r="J249" i="1"/>
  <c r="K249" i="1" s="1"/>
  <c r="I249" i="1"/>
  <c r="I279" i="2"/>
  <c r="J279" i="2" s="1"/>
  <c r="K279" i="2" s="1"/>
  <c r="J229" i="2"/>
  <c r="K229" i="2" s="1"/>
  <c r="I229" i="2"/>
  <c r="I276" i="1"/>
  <c r="J276" i="1" s="1"/>
  <c r="K276" i="1" s="1"/>
  <c r="K94" i="1"/>
  <c r="J94" i="1"/>
  <c r="I288" i="1"/>
  <c r="J288" i="1" s="1"/>
  <c r="K288" i="1" s="1"/>
  <c r="H137" i="2"/>
  <c r="I267" i="1"/>
  <c r="J267" i="1" s="1"/>
  <c r="K267" i="1" s="1"/>
  <c r="E92" i="1"/>
  <c r="G170" i="1"/>
  <c r="H170" i="1" s="1"/>
  <c r="J170" i="1" s="1"/>
  <c r="G184" i="1"/>
  <c r="H184" i="1" s="1"/>
  <c r="J184" i="1" s="1"/>
  <c r="E114" i="1"/>
  <c r="F98" i="1"/>
  <c r="H98" i="1" s="1"/>
  <c r="K248" i="1"/>
  <c r="E137" i="2"/>
  <c r="G117" i="2"/>
  <c r="H117" i="2" s="1"/>
  <c r="G128" i="1"/>
  <c r="F87" i="1"/>
  <c r="H87" i="1" s="1"/>
  <c r="F118" i="1"/>
  <c r="H118" i="1" s="1"/>
  <c r="K283" i="1"/>
  <c r="F92" i="1"/>
  <c r="H109" i="1"/>
  <c r="I271" i="1"/>
  <c r="J271" i="1" s="1"/>
  <c r="K271" i="1" s="1"/>
  <c r="F131" i="2"/>
  <c r="H131" i="2" s="1"/>
  <c r="G102" i="2"/>
  <c r="H95" i="2"/>
  <c r="K93" i="2"/>
  <c r="J93" i="2"/>
  <c r="G121" i="2"/>
  <c r="H121" i="2" s="1"/>
  <c r="K228" i="2"/>
  <c r="F96" i="2"/>
  <c r="H96" i="2" s="1"/>
  <c r="G115" i="2"/>
  <c r="F115" i="2"/>
  <c r="H115" i="2" s="1"/>
  <c r="K277" i="2"/>
  <c r="F117" i="1"/>
  <c r="E136" i="2"/>
  <c r="F94" i="2"/>
  <c r="H94" i="2" s="1"/>
  <c r="F95" i="1"/>
  <c r="H95" i="1" s="1"/>
  <c r="E102" i="1"/>
  <c r="G97" i="1"/>
  <c r="H97" i="1" s="1"/>
  <c r="F127" i="1"/>
  <c r="H127" i="1" s="1"/>
  <c r="F128" i="2"/>
  <c r="H128" i="2" s="1"/>
  <c r="E86" i="2"/>
  <c r="F132" i="2"/>
  <c r="H132" i="2" s="1"/>
  <c r="I231" i="2"/>
  <c r="J231" i="2" s="1"/>
  <c r="K231" i="2" s="1"/>
  <c r="F119" i="1"/>
  <c r="H129" i="1"/>
  <c r="H97" i="2"/>
  <c r="D86" i="1"/>
  <c r="F114" i="1"/>
  <c r="H114" i="1" s="1"/>
  <c r="E86" i="1"/>
  <c r="J278" i="1"/>
  <c r="K278" i="1" s="1"/>
  <c r="I278" i="1"/>
  <c r="H165" i="2"/>
  <c r="G109" i="2"/>
  <c r="F128" i="1"/>
  <c r="H128" i="1" s="1"/>
  <c r="F115" i="1"/>
  <c r="G115" i="1"/>
  <c r="E93" i="1"/>
  <c r="G90" i="1"/>
  <c r="G190" i="2"/>
  <c r="H190" i="2" s="1"/>
  <c r="J190" i="2" s="1"/>
  <c r="E92" i="2"/>
  <c r="F120" i="1"/>
  <c r="H120" i="1" s="1"/>
  <c r="H157" i="1"/>
  <c r="F91" i="1"/>
  <c r="H91" i="1" s="1"/>
  <c r="G187" i="2"/>
  <c r="H187" i="2" s="1"/>
  <c r="J187" i="2" s="1"/>
  <c r="G107" i="2"/>
  <c r="G103" i="2"/>
  <c r="E116" i="1"/>
  <c r="F101" i="1"/>
  <c r="H101" i="1" s="1"/>
  <c r="H163" i="1"/>
  <c r="G174" i="2"/>
  <c r="H174" i="2" s="1"/>
  <c r="J174" i="2" s="1"/>
  <c r="E127" i="2"/>
  <c r="G130" i="2"/>
  <c r="F123" i="2"/>
  <c r="H123" i="2" s="1"/>
  <c r="H143" i="1"/>
  <c r="E103" i="1"/>
  <c r="F91" i="2"/>
  <c r="H91" i="2" s="1"/>
  <c r="F124" i="2"/>
  <c r="H124" i="2" s="1"/>
  <c r="H152" i="1"/>
  <c r="G96" i="1"/>
  <c r="H96" i="1" s="1"/>
  <c r="F108" i="2"/>
  <c r="H108" i="2" s="1"/>
  <c r="G126" i="2"/>
  <c r="F126" i="2"/>
  <c r="H164" i="2"/>
  <c r="F122" i="2"/>
  <c r="H122" i="2" s="1"/>
  <c r="F123" i="1"/>
  <c r="H123" i="1" s="1"/>
  <c r="G135" i="1"/>
  <c r="H135" i="1" s="1"/>
  <c r="G171" i="2"/>
  <c r="H171" i="2" s="1"/>
  <c r="J171" i="2" s="1"/>
  <c r="G102" i="1"/>
  <c r="G125" i="1"/>
  <c r="G99" i="1"/>
  <c r="G175" i="2"/>
  <c r="H175" i="2" s="1"/>
  <c r="J175" i="2" s="1"/>
  <c r="H160" i="2"/>
  <c r="E114" i="2"/>
  <c r="E104" i="2"/>
  <c r="K118" i="2" l="1"/>
  <c r="J118" i="2"/>
  <c r="H107" i="2"/>
  <c r="K107" i="2" s="1"/>
  <c r="K126" i="1"/>
  <c r="H89" i="1"/>
  <c r="H125" i="2"/>
  <c r="I238" i="1"/>
  <c r="J238" i="1" s="1"/>
  <c r="K238" i="1" s="1"/>
  <c r="F252" i="1" s="1"/>
  <c r="F254" i="1" s="1"/>
  <c r="G258" i="1" s="1"/>
  <c r="H100" i="1"/>
  <c r="H126" i="2"/>
  <c r="K126" i="2" s="1"/>
  <c r="H134" i="2"/>
  <c r="H130" i="1"/>
  <c r="K137" i="1"/>
  <c r="J137" i="1"/>
  <c r="K103" i="1"/>
  <c r="J103" i="1"/>
  <c r="J107" i="2"/>
  <c r="F292" i="2"/>
  <c r="F294" i="2" s="1"/>
  <c r="G298" i="2" s="1"/>
  <c r="J119" i="2"/>
  <c r="K119" i="2"/>
  <c r="J96" i="1"/>
  <c r="K96" i="1"/>
  <c r="K129" i="2"/>
  <c r="J129" i="2"/>
  <c r="K136" i="2"/>
  <c r="J136" i="2"/>
  <c r="K117" i="2"/>
  <c r="J117" i="2"/>
  <c r="F251" i="2"/>
  <c r="F253" i="2" s="1"/>
  <c r="G257" i="2" s="1"/>
  <c r="K131" i="1"/>
  <c r="J131" i="1"/>
  <c r="K97" i="1"/>
  <c r="J97" i="1"/>
  <c r="K114" i="1"/>
  <c r="J114" i="1"/>
  <c r="K95" i="1"/>
  <c r="J95" i="1"/>
  <c r="J118" i="1"/>
  <c r="K118" i="1"/>
  <c r="J135" i="2"/>
  <c r="K135" i="2"/>
  <c r="K121" i="1"/>
  <c r="J121" i="1"/>
  <c r="K134" i="2"/>
  <c r="J134" i="2"/>
  <c r="J124" i="1"/>
  <c r="K124" i="1"/>
  <c r="K89" i="2"/>
  <c r="J89" i="2"/>
  <c r="J91" i="2"/>
  <c r="K91" i="2"/>
  <c r="J120" i="1"/>
  <c r="K120" i="1"/>
  <c r="K96" i="2"/>
  <c r="J96" i="2"/>
  <c r="K131" i="2"/>
  <c r="J131" i="2"/>
  <c r="K137" i="2"/>
  <c r="J137" i="2"/>
  <c r="J130" i="2"/>
  <c r="K130" i="2"/>
  <c r="H109" i="2"/>
  <c r="H114" i="2"/>
  <c r="K101" i="1"/>
  <c r="J101" i="1"/>
  <c r="K132" i="2"/>
  <c r="J132" i="2"/>
  <c r="K98" i="2"/>
  <c r="J98" i="2"/>
  <c r="K135" i="1"/>
  <c r="J135" i="1"/>
  <c r="H99" i="1"/>
  <c r="K105" i="1"/>
  <c r="J105" i="1"/>
  <c r="F292" i="1"/>
  <c r="F294" i="1" s="1"/>
  <c r="G298" i="1" s="1"/>
  <c r="H102" i="2"/>
  <c r="K136" i="1"/>
  <c r="J136" i="1"/>
  <c r="K133" i="1"/>
  <c r="J133" i="1"/>
  <c r="J122" i="2"/>
  <c r="K122" i="2"/>
  <c r="J94" i="2"/>
  <c r="K94" i="2"/>
  <c r="K104" i="2"/>
  <c r="J104" i="2"/>
  <c r="K128" i="2"/>
  <c r="J128" i="2"/>
  <c r="K121" i="2"/>
  <c r="J121" i="2"/>
  <c r="K100" i="2"/>
  <c r="J100" i="2"/>
  <c r="J88" i="1"/>
  <c r="K88" i="1"/>
  <c r="H86" i="2"/>
  <c r="K108" i="2"/>
  <c r="J108" i="2"/>
  <c r="K123" i="2"/>
  <c r="J123" i="2"/>
  <c r="K97" i="2"/>
  <c r="J97" i="2"/>
  <c r="K129" i="1"/>
  <c r="J129" i="1"/>
  <c r="K127" i="1"/>
  <c r="J127" i="1"/>
  <c r="H117" i="1"/>
  <c r="K109" i="1"/>
  <c r="J109" i="1"/>
  <c r="K90" i="2"/>
  <c r="J90" i="2"/>
  <c r="K86" i="1"/>
  <c r="J86" i="1"/>
  <c r="K130" i="1"/>
  <c r="J130" i="1"/>
  <c r="H102" i="1"/>
  <c r="K91" i="1"/>
  <c r="J91" i="1"/>
  <c r="H115" i="1"/>
  <c r="H119" i="1"/>
  <c r="H92" i="1"/>
  <c r="H125" i="1"/>
  <c r="K87" i="2"/>
  <c r="J87" i="2"/>
  <c r="H90" i="1"/>
  <c r="K107" i="1"/>
  <c r="J107" i="1"/>
  <c r="K87" i="1"/>
  <c r="J87" i="1"/>
  <c r="J126" i="2"/>
  <c r="J98" i="1"/>
  <c r="K98" i="1"/>
  <c r="K123" i="1"/>
  <c r="J123" i="1"/>
  <c r="K124" i="2"/>
  <c r="J124" i="2"/>
  <c r="J128" i="1"/>
  <c r="K128" i="1"/>
  <c r="K115" i="2"/>
  <c r="J115" i="2"/>
  <c r="K95" i="2"/>
  <c r="J95" i="2"/>
  <c r="H103" i="2"/>
  <c r="H106" i="2"/>
  <c r="J116" i="1"/>
  <c r="K116" i="1"/>
  <c r="K101" i="2"/>
  <c r="J101" i="2"/>
  <c r="K125" i="2" l="1"/>
  <c r="J125" i="2"/>
  <c r="K89" i="1"/>
  <c r="J89" i="1"/>
  <c r="J100" i="1"/>
  <c r="K100" i="1"/>
  <c r="K117" i="1"/>
  <c r="J117" i="1"/>
  <c r="K125" i="1"/>
  <c r="J125" i="1"/>
  <c r="J86" i="2"/>
  <c r="K86" i="2"/>
  <c r="C302" i="2"/>
  <c r="J114" i="2"/>
  <c r="K114" i="2"/>
  <c r="K99" i="1"/>
  <c r="J99" i="1"/>
  <c r="K115" i="1"/>
  <c r="J115" i="1"/>
  <c r="K109" i="2"/>
  <c r="J109" i="2"/>
  <c r="C303" i="1"/>
  <c r="K103" i="2"/>
  <c r="J103" i="2"/>
  <c r="K119" i="1"/>
  <c r="J119" i="1"/>
  <c r="J90" i="1"/>
  <c r="K90" i="1"/>
  <c r="J102" i="2"/>
  <c r="K102" i="2"/>
  <c r="K106" i="2"/>
  <c r="J106" i="2"/>
  <c r="K92" i="1"/>
  <c r="J92" i="1"/>
  <c r="K102" i="1"/>
  <c r="J102" i="1"/>
</calcChain>
</file>

<file path=xl/sharedStrings.xml><?xml version="1.0" encoding="utf-8"?>
<sst xmlns="http://schemas.openxmlformats.org/spreadsheetml/2006/main" count="943" uniqueCount="187">
  <si>
    <t>FONDATIONS : SEMELLES ISOLÉES – SEMELLE S1</t>
  </si>
  <si>
    <t>Hangar métallique – test – appuis : 12, 15 – pied de poteau : encastré</t>
  </si>
  <si>
    <t>1. CARACTÉRISTIQUES DES MATÉRIAUX, DU SOL ET DU POTEAU</t>
  </si>
  <si>
    <t>Fe (MPa)</t>
  </si>
  <si>
    <t>FC28 (MPa)</t>
  </si>
  <si>
    <t>ft28 = 0,6 + 0,06·fc28</t>
  </si>
  <si>
    <t>γ béton (kN/m³)</t>
  </si>
  <si>
    <t>Enrobage c (m)</t>
  </si>
  <si>
    <t>Ancrage D (m)</t>
  </si>
  <si>
    <t>σ sol (bar)</t>
  </si>
  <si>
    <t>γ sol (kN/m³)</t>
  </si>
  <si>
    <t>φ' (°)</t>
  </si>
  <si>
    <t>c' (kPa)</t>
  </si>
  <si>
    <t>q ELS (bar)</t>
  </si>
  <si>
    <t>q ELU (bar)</t>
  </si>
  <si>
    <t>q ACC (bar)</t>
  </si>
  <si>
    <t>σs ELU = fe/1.15</t>
  </si>
  <si>
    <t>σs ACC = fe/1</t>
  </si>
  <si>
    <t>σ̄s ELS (MPa)</t>
  </si>
  <si>
    <t>fbu ELU = 0,85fc28/1.5</t>
  </si>
  <si>
    <t>fbu ACC = 0,85fc28/1.2</t>
  </si>
  <si>
    <t>σ̄bc = 0,6·fc28</t>
  </si>
  <si>
    <t>φ supposé (mm)</t>
  </si>
  <si>
    <t>Poteau / fût a (m)</t>
  </si>
  <si>
    <t>Poteau / fût b (m)</t>
  </si>
  <si>
    <t>h0 arase / TN (m)</t>
  </si>
  <si>
    <t>Hp = D − H + h0 (m)</t>
  </si>
  <si>
    <t>H bras de levier (m)</t>
  </si>
  <si>
    <t>μl ELU</t>
  </si>
  <si>
    <t>μl ACC</t>
  </si>
  <si>
    <t>γb ELU</t>
  </si>
  <si>
    <t>γb ACC</t>
  </si>
  <si>
    <t>Fissuration</t>
  </si>
  <si>
    <t>FP</t>
  </si>
  <si>
    <t>2. DIMENSIONNEMENT DE LA SEMELLE</t>
  </si>
  <si>
    <t>A (m)</t>
  </si>
  <si>
    <t>B (m)</t>
  </si>
  <si>
    <t>H (m)</t>
  </si>
  <si>
    <t>dx (m)</t>
  </si>
  <si>
    <t>dy (m)</t>
  </si>
  <si>
    <t>Vérification</t>
  </si>
  <si>
    <t>Minimum requis</t>
  </si>
  <si>
    <t>Retenu (choisi)</t>
  </si>
  <si>
    <t>Surface minimale (contrainte moyenne de service) : Nser / (A·B) ≤ q_ELS  ⇒  S = A·B ≥ Nser,max / q_ELS ; homothétie avec le poteau : A = √(S·a/b), B = √(S·b/a). Rigidité : d ≥ max((A − a)/4 ; (B − b)/4) ; H ≥ d + c + 1,5·φ.</t>
  </si>
  <si>
    <t>Nser,max (kN)</t>
  </si>
  <si>
    <t>S min = Nser/q_ELS (m²)</t>
  </si>
  <si>
    <t>A min = √(S·a/b)</t>
  </si>
  <si>
    <t>B min = √(S·b/a)</t>
  </si>
  <si>
    <t>d min = max((A−a)/4 ; (B−b)/4)</t>
  </si>
  <si>
    <t>H min = d + c + 1,5φ</t>
  </si>
  <si>
    <t>3. SOLLICITATIONS LES PLUS DÉFAVORABLES DE CHAQUE COMBINAISON (réactions d'appui, repère global)</t>
  </si>
  <si>
    <t>Combinaison</t>
  </si>
  <si>
    <t>Type</t>
  </si>
  <si>
    <t>Appui</t>
  </si>
  <si>
    <t>N (kN)</t>
  </si>
  <si>
    <t>Mx (kN.m)</t>
  </si>
  <si>
    <t>My (kN.m)</t>
  </si>
  <si>
    <t>Vx (kN)</t>
  </si>
  <si>
    <t>Vy (kN)</t>
  </si>
  <si>
    <t>ELU1</t>
  </si>
  <si>
    <t>ELU</t>
  </si>
  <si>
    <t>12</t>
  </si>
  <si>
    <t>ELU2</t>
  </si>
  <si>
    <t>ELU3 (W1)</t>
  </si>
  <si>
    <t>ELU3 (W2)</t>
  </si>
  <si>
    <t>ELU4 (W1)</t>
  </si>
  <si>
    <t>ELU4 (W2)</t>
  </si>
  <si>
    <t>ELU5 (W1)</t>
  </si>
  <si>
    <t>ELU5 (W2)</t>
  </si>
  <si>
    <t>ELU6 (W1)</t>
  </si>
  <si>
    <t>ELU6 (W2)</t>
  </si>
  <si>
    <t>ELS1</t>
  </si>
  <si>
    <t>ELS</t>
  </si>
  <si>
    <t>ELS2</t>
  </si>
  <si>
    <t>ELS3 (W1)</t>
  </si>
  <si>
    <t>ELS3 (W2)</t>
  </si>
  <si>
    <t>ELS4 (W1)</t>
  </si>
  <si>
    <t>ELS4 (W2)</t>
  </si>
  <si>
    <t>ACC G+ψQ+Ω(1·Ex+0.3·Ey)</t>
  </si>
  <si>
    <t>ACC</t>
  </si>
  <si>
    <t>ACC G+ψQ+Ω(1·Ex−0.3·Ey)</t>
  </si>
  <si>
    <t>ACC G+ψQ+Ω(0.3·Ex+1·Ey)</t>
  </si>
  <si>
    <t>ACC G+ψQ+Ω(0.3·Ex−1·Ey)</t>
  </si>
  <si>
    <t>ACC G+ψQ−Ω(1·Ex+0.3·Ey)</t>
  </si>
  <si>
    <t>ACC G+ψQ−Ω(1·Ex−0.3·Ey)</t>
  </si>
  <si>
    <t>ACC G+ψQ−Ω(0.3·Ex+1·Ey)</t>
  </si>
  <si>
    <t>ACC G+ψQ−Ω(0.3·Ex−1·Ey)</t>
  </si>
  <si>
    <t>4. POIDS DES ÉLÉMENTS</t>
  </si>
  <si>
    <t>Élément</t>
  </si>
  <si>
    <t>Formule</t>
  </si>
  <si>
    <t>Poids (kN)</t>
  </si>
  <si>
    <t>Poids de la semelle</t>
  </si>
  <si>
    <t>Wf = γb·A·B·H</t>
  </si>
  <si>
    <t>Poids du fût (amorce)</t>
  </si>
  <si>
    <t>Wp = γb·a·b·Hp</t>
  </si>
  <si>
    <t>Poids des terres</t>
  </si>
  <si>
    <t>Ws = γsol·(A·B − a·b)·(D − H)</t>
  </si>
  <si>
    <t>POIDS TOTAL</t>
  </si>
  <si>
    <t>W = Wf + Wp + Ws</t>
  </si>
  <si>
    <t>5. EFFORTS À LA SOUS-FACE DE LA SEMELLE ET EXCENTRICITÉS (poids des éléments inclus)</t>
  </si>
  <si>
    <t>Le poids des éléments est ajouté AVANT le calcul de l'excentricité. γG = 1,35 à l'ELU, 1,00 à l'ELS et en situation sismique. Les moments sont transportés au niveau d'assise par le bras de levier H.</t>
  </si>
  <si>
    <t>γG</t>
  </si>
  <si>
    <t>Ntot = N + γG·W (kN)</t>
  </si>
  <si>
    <t>My,b = My + Vx·H (kN.m)</t>
  </si>
  <si>
    <t>Mx,b = Mx − Vy·H (kN.m)</t>
  </si>
  <si>
    <t>ex = |My,b| / Ntot (m)</t>
  </si>
  <si>
    <t>ey = |Mx,b| / Ntot (m)</t>
  </si>
  <si>
    <t>6.1 VÉRIFICATION DES CONTRAINTES DU SOL "Sens_X" (DTR BC 2.331 – règle des 3/4)</t>
  </si>
  <si>
    <t>e ≤ A/6 : σmax,min = Ntot/(A·B)·(1 ± 6e/A) (trapèze) ; e &gt; A/6 : σmax = 2·Ntot/(3·B·(A/2 − e)), σmin = 0 (triangle) ; σ3/4 = (3σmax + σmin)/4 ≤ q.</t>
  </si>
  <si>
    <t>Ntot (kN)</t>
  </si>
  <si>
    <t>ex (m)</t>
  </si>
  <si>
    <t>Diagramme</t>
  </si>
  <si>
    <t>σmax (bar)</t>
  </si>
  <si>
    <t>σmin (bar)</t>
  </si>
  <si>
    <t>σ 3/4 (bar)</t>
  </si>
  <si>
    <t>q (bar)</t>
  </si>
  <si>
    <t>Taux</t>
  </si>
  <si>
    <t>6.2 VÉRIFICATION DES CONTRAINTES DU SOL "Sens_Y" (DTR BC 2.331 – règle des 3/4)</t>
  </si>
  <si>
    <t>e ≤ B/6 : σmax,min = Ntot/(A·B)·(1 ± 6e/B) (trapèze) ; e &gt; B/6 : σmax = 2·Ntot/(3·A·(B/2 − e)), σmin = 0 (triangle) ; σ3/4 = (3σmax + σmin)/4 ≤ q.</t>
  </si>
  <si>
    <t>ey (m)</t>
  </si>
  <si>
    <t>7. VÉRIFICATION AU RENVERSEMENT</t>
  </si>
  <si>
    <t>Fs = Ms/Mr = Nt·(A/2) / |My,b| (et Nt·(B/2) / |Mx,b|), moment stabilisant calculé au niveau bas de la fondation par rapport au bord extrême, Nt = N + γG·W. Séisme : Fs ≥ 1,3 avec le poids total (RPA 2024 §4.5.1 et §5.5) ; ELS / ELU : Fs ≥ 1.5 (règle de l'art).</t>
  </si>
  <si>
    <t>Nt (kN)</t>
  </si>
  <si>
    <t>Fs x = Nt·A/2 / |My,b|</t>
  </si>
  <si>
    <t>Fs y = Nt·B/2 / |Mx,b|</t>
  </si>
  <si>
    <t>Fs requis</t>
  </si>
  <si>
    <t>8. VÉRIFICATION AU GLISSEMENT</t>
  </si>
  <si>
    <t>H = √(Vx² + Vy²) ; R = Nt·tanφ' + c'·A' (A' = surface comprimée) ; Fs = R/H ≥ 1,25 en situation sismique (RPA 2024 §5.5 et §10.1.5) ; ≥ 1.5 en ELS / ELU (DTR BC 2.33.1).</t>
  </si>
  <si>
    <t>H = √(Vx²+Vy²) (kN)</t>
  </si>
  <si>
    <t>Nt = N + γG·W (kN)</t>
  </si>
  <si>
    <t>Lx' (m)</t>
  </si>
  <si>
    <t>Ly' (m)</t>
  </si>
  <si>
    <t>R = Nt·tanφ' + c'·A' (kN)</t>
  </si>
  <si>
    <t>Fs = R/H</t>
  </si>
  <si>
    <t>9. VÉRIFICATION AU SOULÈVEMENT</t>
  </si>
  <si>
    <t>Traction T = −N ; Fs = γG·W / T ≥ 1.5 (ELS) ou 1 (ELU, séisme) – règle de l'art.</t>
  </si>
  <si>
    <t>T = −N (kN)</t>
  </si>
  <si>
    <t>W stabilisant = γG·W (kN)</t>
  </si>
  <si>
    <t>Fs = γG·W / T</t>
  </si>
  <si>
    <t>10. VÉRIFICATION AU POINÇONNEMENT (BAEL A.5.2.4)</t>
  </si>
  <si>
    <t>Nu = N + γG·Wp ; P'u = Nu·[1 − (a + 2H)(b + 2H)/(A·B)] ; uc = 2·(a + b + 2H) ; P'u ≤ 0,045·uc·H·fc28/γb.</t>
  </si>
  <si>
    <t>Nu = N + γG·Wp (kN)</t>
  </si>
  <si>
    <t>P'u (kN)</t>
  </si>
  <si>
    <t>uc (m)</t>
  </si>
  <si>
    <t>γb</t>
  </si>
  <si>
    <t>P'lim (kN)</t>
  </si>
  <si>
    <t>11.1 FERRAILLAGE DE LA SEMELLE – NAPPE INFÉRIEURE // A (x)</t>
  </si>
  <si>
    <t>Méthode des bielles (e₀ = |M|/Nu ≤ A/6) : N' = Nu·(1 + 3e₀/A) ; As = N'·(A − a) / (8·d·σs).</t>
  </si>
  <si>
    <t>Méthode des moments à la section S1 (l₁ = A/2 − 0,35·a) : M₁ = B·∫₀^l₁ σ(s)·(l₁ − s)·ds − w·B·l₁²/2, w = γG·(γb·H + γsol·(D − H)) ; ELU/ACC : μ = M₁/(B·d²·fbu), z = d·(1 − 0,4α), α = 1,25(1 − √(1 − 2μ)), As = M₁/(z·σs) ; ELS : section fissurée n = 15, μs = M₁/(b·d²·σ̄s), α³ − 3α² − 90μs·α + 90μs = 0, z = d·(1 − α/3), As = M₁/(z·σ̄s).</t>
  </si>
  <si>
    <t>e₀ = |M|/Nu (m)</t>
  </si>
  <si>
    <t>As bielles (cm²)</t>
  </si>
  <si>
    <t>x comprimée (m)</t>
  </si>
  <si>
    <t>σmax (kPa)</t>
  </si>
  <si>
    <t>M₁ (kN.m)</t>
  </si>
  <si>
    <t>μ</t>
  </si>
  <si>
    <t>As moments (cm²)</t>
  </si>
  <si>
    <t>As (cm²)</t>
  </si>
  <si>
    <t>Désignation</t>
  </si>
  <si>
    <t>Valeur</t>
  </si>
  <si>
    <t>As max (bielles / moments)</t>
  </si>
  <si>
    <t>max des combinaisons</t>
  </si>
  <si>
    <t>As min – non-fragilité</t>
  </si>
  <si>
    <t>0,23·B·d·ft28/fe</t>
  </si>
  <si>
    <t>As requis</t>
  </si>
  <si>
    <t>max(As ; As min)</t>
  </si>
  <si>
    <t>Diamètre retenu φ (mm)</t>
  </si>
  <si>
    <t>choix</t>
  </si>
  <si>
    <t>Espacement retenu s (m)</t>
  </si>
  <si>
    <t>Nombre de barres</t>
  </si>
  <si>
    <t>n = ⌈(B − 2c)/s⌉ + 1</t>
  </si>
  <si>
    <t>As fourni</t>
  </si>
  <si>
    <t>n·π·φ²/4</t>
  </si>
  <si>
    <t>Espacement maximal</t>
  </si>
  <si>
    <t>min(2·H ; 25 cm)</t>
  </si>
  <si>
    <t>FERRAILLAGE // A</t>
  </si>
  <si>
    <t>11.2 FERRAILLAGE DE LA SEMELLE – NAPPE INFÉRIEURE // B (y)</t>
  </si>
  <si>
    <t>Méthode des bielles (e₀ = |M|/Nu ≤ B/6) : N' = Nu·(1 + 3e₀/B) ; As = N'·(B − b) / (8·d·σs).</t>
  </si>
  <si>
    <t>Méthode des moments à la section S1 (l₁ = B/2 − 0,35·b) : M₁ = A·∫₀^l₁ σ(s)·(l₁ − s)·ds − w·A·l₁²/2, w = γG·(γb·H + γsol·(D − H)) ; ELU/ACC : μ = M₁/(A·d²·fbu), z = d·(1 − 0,4α), α = 1,25(1 − √(1 − 2μ)), As = M₁/(z·σs) ; ELS : section fissurée n = 15, μs = M₁/(b·d²·σ̄s), α³ − 3α² − 90μs·α + 90μs = 0, z = d·(1 − α/3), As = M₁/(z·σ̄s).</t>
  </si>
  <si>
    <t>0,23·A·d·ft28/fe</t>
  </si>
  <si>
    <t>n = ⌈(A − 2c)/s⌉ + 1</t>
  </si>
  <si>
    <t>FERRAILLAGE // B</t>
  </si>
  <si>
    <t>Nappe supérieure nécessaire (M₁ &lt; 0 : soulèvement de la console) : As,sup = 19.23 cm² → 17 HA12</t>
  </si>
  <si>
    <t>CONCLUSION</t>
  </si>
  <si>
    <t>FONDATIONS : SEMELLES ISOLÉES – SEMELLE S2</t>
  </si>
  <si>
    <t>Hangar métallique – test – appuis : 30 – pied de poteau : articulé</t>
  </si>
  <si>
    <t>30</t>
  </si>
  <si>
    <t>Nappe supérieure nécessaire (M₁ &lt; 0 : soulèvement de la console) : As,sup = 5.38 cm² → 6 HA12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</si>
</sst>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0"/>
      <color rgb="FF000000"/>
      <name val="Times New Roman"/>
    </font>
    <font>
      <b/>
      <sz val="12"/>
      <color rgb="FF000000"/>
      <name val="Times New Roman"/>
    </font>
    <font>
      <b/>
      <sz val="10"/>
      <color rgb="FF000000"/>
      <name val="Times New Roman"/>
    </font>
    <font>
      <b/>
      <sz val="11"/>
      <color rgb="FF000000"/>
      <name val="Times New Roman"/>
    </font>
    <font>
      <b/>
      <sz val="12"/>
      <color rgb="FFFF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0B050"/>
      </patternFill>
    </fill>
  </fills>
  <borders count="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03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" customWidth="1"/>
    <col min="2" max="2" width="30" customWidth="1"/>
    <col min="3" max="4" width="15" customWidth="1"/>
    <col min="5" max="5" width="34" customWidth="1"/>
    <col min="6" max="11" width="15" customWidth="1"/>
  </cols>
  <sheetData>
    <row r="1" spans="2:11" ht="24" customHeight="1" x14ac:dyDescent="0.25">
      <c r="B1" s="31" t="s">
        <v>0</v>
      </c>
      <c r="C1" s="29"/>
      <c r="D1" s="29"/>
      <c r="E1" s="29"/>
      <c r="F1" s="29"/>
      <c r="G1" s="29"/>
      <c r="H1" s="29"/>
      <c r="I1" s="29"/>
      <c r="J1" s="29"/>
      <c r="K1" s="29"/>
    </row>
    <row r="2" spans="2:11" x14ac:dyDescent="0.25">
      <c r="B2" s="3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4" spans="2:11" ht="20.100000000000001" customHeight="1" x14ac:dyDescent="0.25">
      <c r="B4" s="28" t="s">
        <v>2</v>
      </c>
      <c r="C4" s="29"/>
      <c r="D4" s="29"/>
      <c r="E4" s="29"/>
      <c r="F4" s="29"/>
      <c r="G4" s="29"/>
      <c r="H4" s="29"/>
      <c r="I4" s="29"/>
      <c r="J4" s="29"/>
      <c r="K4" s="29"/>
    </row>
    <row r="5" spans="2:11" ht="32.1" customHeight="1" x14ac:dyDescent="0.25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2:11" x14ac:dyDescent="0.25">
      <c r="B6" s="3">
        <v>400</v>
      </c>
      <c r="C6" s="3">
        <v>25</v>
      </c>
      <c r="D6" s="3">
        <f>0.6+0.06*$C$6</f>
        <v>2.1</v>
      </c>
      <c r="E6" s="3">
        <v>25</v>
      </c>
      <c r="F6" s="3">
        <v>0.05</v>
      </c>
      <c r="G6" s="3">
        <v>1.5</v>
      </c>
      <c r="H6" s="3">
        <v>2</v>
      </c>
      <c r="I6" s="3">
        <v>18</v>
      </c>
      <c r="J6" s="3">
        <v>28</v>
      </c>
      <c r="K6" s="3">
        <v>0</v>
      </c>
    </row>
    <row r="7" spans="2:11" ht="32.1" customHeight="1" x14ac:dyDescent="0.25"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</row>
    <row r="8" spans="2:11" x14ac:dyDescent="0.25">
      <c r="B8" s="3">
        <v>2</v>
      </c>
      <c r="C8" s="3">
        <v>3</v>
      </c>
      <c r="D8" s="3">
        <v>3</v>
      </c>
      <c r="E8" s="3">
        <f>$B$6/1.15</f>
        <v>347.82608695652175</v>
      </c>
      <c r="F8" s="3">
        <f>$B$6/1</f>
        <v>400</v>
      </c>
      <c r="G8" s="3">
        <v>201.63333057805701</v>
      </c>
      <c r="H8" s="3">
        <f>0.85*$C$6/(1*1.5)</f>
        <v>14.166666666666666</v>
      </c>
      <c r="I8" s="3">
        <f>0.85*$C$6/(1*1.2)</f>
        <v>17.708333333333336</v>
      </c>
      <c r="J8" s="3">
        <f>0.6*$C$6</f>
        <v>15</v>
      </c>
      <c r="K8" s="4">
        <v>14</v>
      </c>
    </row>
    <row r="9" spans="2:11" ht="32.1" customHeight="1" x14ac:dyDescent="0.25"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32</v>
      </c>
    </row>
    <row r="10" spans="2:11" x14ac:dyDescent="0.25">
      <c r="B10" s="3">
        <v>0.5</v>
      </c>
      <c r="C10" s="3">
        <v>0.5</v>
      </c>
      <c r="D10" s="3">
        <v>0.2</v>
      </c>
      <c r="E10" s="3">
        <f>$G$6-$E$15+$D$10</f>
        <v>1.05</v>
      </c>
      <c r="F10" s="3">
        <f>$G$6+$D$10</f>
        <v>1.7</v>
      </c>
      <c r="G10" s="5">
        <v>0.3916</v>
      </c>
      <c r="H10" s="5">
        <v>0.3795</v>
      </c>
      <c r="I10" s="3">
        <v>1.5</v>
      </c>
      <c r="J10" s="3">
        <v>1.2</v>
      </c>
      <c r="K10" s="6" t="s">
        <v>33</v>
      </c>
    </row>
    <row r="12" spans="2:11" ht="20.100000000000001" customHeight="1" x14ac:dyDescent="0.25">
      <c r="B12" s="28" t="s">
        <v>34</v>
      </c>
      <c r="C12" s="29"/>
      <c r="D12" s="29"/>
      <c r="E12" s="29"/>
      <c r="F12" s="29"/>
      <c r="G12" s="29"/>
      <c r="H12" s="29"/>
      <c r="I12" s="29"/>
      <c r="J12" s="29"/>
      <c r="K12" s="29"/>
    </row>
    <row r="13" spans="2:11" ht="20.100000000000001" customHeight="1" x14ac:dyDescent="0.25">
      <c r="B13" s="2"/>
      <c r="C13" s="2" t="s">
        <v>35</v>
      </c>
      <c r="D13" s="2" t="s">
        <v>36</v>
      </c>
      <c r="E13" s="2" t="s">
        <v>37</v>
      </c>
      <c r="F13" s="2" t="s">
        <v>38</v>
      </c>
      <c r="G13" s="2" t="s">
        <v>39</v>
      </c>
      <c r="H13" s="2" t="s">
        <v>40</v>
      </c>
    </row>
    <row r="14" spans="2:11" x14ac:dyDescent="0.25">
      <c r="B14" s="7" t="s">
        <v>41</v>
      </c>
      <c r="C14" s="3">
        <f>$D$19</f>
        <v>0.79056941504209488</v>
      </c>
      <c r="D14" s="3">
        <f>$E$19</f>
        <v>0.79056941504209488</v>
      </c>
      <c r="E14" s="3">
        <f>$G$19</f>
        <v>0.65</v>
      </c>
      <c r="F14" s="5">
        <f>$F$19</f>
        <v>0.5625</v>
      </c>
      <c r="G14" s="5">
        <f>$F$19</f>
        <v>0.5625</v>
      </c>
      <c r="H14" s="6"/>
    </row>
    <row r="15" spans="2:11" x14ac:dyDescent="0.25">
      <c r="B15" s="7" t="s">
        <v>42</v>
      </c>
      <c r="C15" s="8">
        <v>2.75</v>
      </c>
      <c r="D15" s="8">
        <v>2.75</v>
      </c>
      <c r="E15" s="8">
        <v>0.65</v>
      </c>
      <c r="F15" s="5">
        <f>$E$15-$F$6-$K$8/2000</f>
        <v>0.59299999999999997</v>
      </c>
      <c r="G15" s="5">
        <f>$E$15-$F$6-1.5*$K$8/1000</f>
        <v>0.57899999999999996</v>
      </c>
      <c r="H15" s="6"/>
    </row>
    <row r="16" spans="2:11" ht="15.75" x14ac:dyDescent="0.25">
      <c r="B16" s="7" t="s">
        <v>40</v>
      </c>
      <c r="C16" s="9" t="str">
        <f>IF($C$15&gt;=$C$14-0.0001,"OK","NON OK")</f>
        <v>OK</v>
      </c>
      <c r="D16" s="9" t="str">
        <f>IF($D$15&gt;=$D$14-0.0001,"OK","NON OK")</f>
        <v>OK</v>
      </c>
      <c r="E16" s="9" t="str">
        <f>IF($E$15&gt;=$E$14-0.0001,"OK","NON OK")</f>
        <v>OK</v>
      </c>
      <c r="F16" s="9" t="str">
        <f>IF($F$15&gt;=$F$14-0.0001,"OK","NON OK")</f>
        <v>OK</v>
      </c>
      <c r="G16" s="9" t="str">
        <f>IF($G$15&gt;=$G$14-0.0001,"OK","NON OK")</f>
        <v>OK</v>
      </c>
      <c r="H16" s="6"/>
    </row>
    <row r="17" spans="2:11" ht="30" customHeight="1" x14ac:dyDescent="0.25">
      <c r="B17" s="20" t="s">
        <v>43</v>
      </c>
      <c r="C17" s="21"/>
      <c r="D17" s="21"/>
      <c r="E17" s="21"/>
      <c r="F17" s="21"/>
      <c r="G17" s="21"/>
      <c r="H17" s="21"/>
      <c r="I17" s="21"/>
      <c r="J17" s="21"/>
      <c r="K17" s="21"/>
    </row>
    <row r="18" spans="2:11" ht="32.1" customHeight="1" x14ac:dyDescent="0.25">
      <c r="B18" s="2" t="s">
        <v>44</v>
      </c>
      <c r="C18" s="2" t="s">
        <v>45</v>
      </c>
      <c r="D18" s="2" t="s">
        <v>46</v>
      </c>
      <c r="E18" s="2" t="s">
        <v>47</v>
      </c>
      <c r="F18" s="2" t="s">
        <v>48</v>
      </c>
      <c r="G18" s="2" t="s">
        <v>49</v>
      </c>
      <c r="H18" s="2"/>
      <c r="I18" s="2"/>
      <c r="J18" s="2"/>
      <c r="K18" s="2"/>
    </row>
    <row r="19" spans="2:11" x14ac:dyDescent="0.25">
      <c r="B19" s="3">
        <f>MAX($E$33,$E$34,$E$35,$E$36,$E$37,$E$38)</f>
        <v>125</v>
      </c>
      <c r="C19" s="5">
        <f>$B$19/($B$8*100)</f>
        <v>0.625</v>
      </c>
      <c r="D19" s="10">
        <f>SQRT($C$19*$B$10/$C$10)</f>
        <v>0.79056941504209488</v>
      </c>
      <c r="E19" s="10">
        <f>SQRT($C$19*$C$10/$B$10)</f>
        <v>0.79056941504209488</v>
      </c>
      <c r="F19" s="5">
        <f>MAX(($C$15-$B$10)/4,($D$15-$C$10)/4)</f>
        <v>0.5625</v>
      </c>
      <c r="G19" s="10">
        <f>MAX(0.4,CEILING($F$19+$F$6+1.5*$K$8/1000,0.05))</f>
        <v>0.65</v>
      </c>
      <c r="H19" s="6"/>
      <c r="I19" s="6"/>
      <c r="J19" s="6"/>
      <c r="K19" s="6"/>
    </row>
    <row r="21" spans="2:11" ht="20.100000000000001" customHeight="1" x14ac:dyDescent="0.25">
      <c r="B21" s="28" t="s">
        <v>50</v>
      </c>
      <c r="C21" s="29"/>
      <c r="D21" s="29"/>
      <c r="E21" s="29"/>
      <c r="F21" s="29"/>
      <c r="G21" s="29"/>
      <c r="H21" s="29"/>
      <c r="I21" s="29"/>
      <c r="J21" s="29"/>
      <c r="K21" s="29"/>
    </row>
    <row r="22" spans="2:11" ht="20.100000000000001" customHeight="1" x14ac:dyDescent="0.25">
      <c r="B22" s="2" t="s">
        <v>51</v>
      </c>
      <c r="C22" s="2" t="s">
        <v>52</v>
      </c>
      <c r="D22" s="2" t="s">
        <v>53</v>
      </c>
      <c r="E22" s="2" t="s">
        <v>54</v>
      </c>
      <c r="F22" s="2" t="s">
        <v>55</v>
      </c>
      <c r="G22" s="2" t="s">
        <v>56</v>
      </c>
      <c r="H22" s="2" t="s">
        <v>57</v>
      </c>
      <c r="I22" s="2" t="s">
        <v>58</v>
      </c>
    </row>
    <row r="23" spans="2:11" x14ac:dyDescent="0.25">
      <c r="B23" s="7" t="s">
        <v>59</v>
      </c>
      <c r="C23" s="6" t="s">
        <v>60</v>
      </c>
      <c r="D23" s="6" t="s">
        <v>61</v>
      </c>
      <c r="E23" s="10">
        <v>159.75</v>
      </c>
      <c r="F23" s="3">
        <v>0</v>
      </c>
      <c r="G23" s="3">
        <v>37.799999999999997</v>
      </c>
      <c r="H23" s="3">
        <v>25.2</v>
      </c>
      <c r="I23" s="3">
        <v>0</v>
      </c>
    </row>
    <row r="24" spans="2:11" x14ac:dyDescent="0.25">
      <c r="B24" s="7" t="s">
        <v>62</v>
      </c>
      <c r="C24" s="6" t="s">
        <v>60</v>
      </c>
      <c r="D24" s="6" t="s">
        <v>61</v>
      </c>
      <c r="E24" s="10">
        <v>174.75</v>
      </c>
      <c r="F24" s="3">
        <v>0</v>
      </c>
      <c r="G24" s="3">
        <v>42.3</v>
      </c>
      <c r="H24" s="3">
        <v>28.2</v>
      </c>
      <c r="I24" s="3">
        <v>0</v>
      </c>
    </row>
    <row r="25" spans="2:11" x14ac:dyDescent="0.25">
      <c r="B25" s="7" t="s">
        <v>63</v>
      </c>
      <c r="C25" s="6" t="s">
        <v>60</v>
      </c>
      <c r="D25" s="6" t="s">
        <v>61</v>
      </c>
      <c r="E25" s="10">
        <v>-27.75</v>
      </c>
      <c r="F25" s="3">
        <v>0</v>
      </c>
      <c r="G25" s="3">
        <v>-65.7</v>
      </c>
      <c r="H25" s="3">
        <v>-25.8</v>
      </c>
      <c r="I25" s="3">
        <v>0</v>
      </c>
    </row>
    <row r="26" spans="2:11" x14ac:dyDescent="0.25">
      <c r="B26" s="7" t="s">
        <v>64</v>
      </c>
      <c r="C26" s="6" t="s">
        <v>60</v>
      </c>
      <c r="D26" s="6" t="s">
        <v>61</v>
      </c>
      <c r="E26" s="10">
        <v>54.75</v>
      </c>
      <c r="F26" s="3">
        <v>-37.5</v>
      </c>
      <c r="G26" s="3">
        <v>24.3</v>
      </c>
      <c r="H26" s="3">
        <v>16.2</v>
      </c>
      <c r="I26" s="3">
        <v>22.5</v>
      </c>
    </row>
    <row r="27" spans="2:11" x14ac:dyDescent="0.25">
      <c r="B27" s="7" t="s">
        <v>65</v>
      </c>
      <c r="C27" s="6" t="s">
        <v>60</v>
      </c>
      <c r="D27" s="6" t="s">
        <v>61</v>
      </c>
      <c r="E27" s="10">
        <v>-57.5</v>
      </c>
      <c r="F27" s="3">
        <v>0</v>
      </c>
      <c r="G27" s="3">
        <v>-72</v>
      </c>
      <c r="H27" s="3">
        <v>-30</v>
      </c>
      <c r="I27" s="3">
        <v>0</v>
      </c>
    </row>
    <row r="28" spans="2:11" x14ac:dyDescent="0.25">
      <c r="B28" s="7" t="s">
        <v>66</v>
      </c>
      <c r="C28" s="6" t="s">
        <v>60</v>
      </c>
      <c r="D28" s="6" t="s">
        <v>61</v>
      </c>
      <c r="E28" s="10">
        <v>25</v>
      </c>
      <c r="F28" s="3">
        <v>-37.5</v>
      </c>
      <c r="G28" s="3">
        <v>18</v>
      </c>
      <c r="H28" s="3">
        <v>12</v>
      </c>
      <c r="I28" s="3">
        <v>22.5</v>
      </c>
    </row>
    <row r="29" spans="2:11" x14ac:dyDescent="0.25">
      <c r="B29" s="7" t="s">
        <v>67</v>
      </c>
      <c r="C29" s="6" t="s">
        <v>60</v>
      </c>
      <c r="D29" s="6" t="s">
        <v>61</v>
      </c>
      <c r="E29" s="10">
        <v>27</v>
      </c>
      <c r="F29" s="3">
        <v>0</v>
      </c>
      <c r="G29" s="3">
        <v>-44.55</v>
      </c>
      <c r="H29" s="3">
        <v>-13.5</v>
      </c>
      <c r="I29" s="3">
        <v>0</v>
      </c>
    </row>
    <row r="30" spans="2:11" x14ac:dyDescent="0.25">
      <c r="B30" s="7" t="s">
        <v>68</v>
      </c>
      <c r="C30" s="6" t="s">
        <v>60</v>
      </c>
      <c r="D30" s="6" t="s">
        <v>61</v>
      </c>
      <c r="E30" s="10">
        <v>101.25</v>
      </c>
      <c r="F30" s="3">
        <v>-33.75</v>
      </c>
      <c r="G30" s="3">
        <v>36.450000000000003</v>
      </c>
      <c r="H30" s="3">
        <v>24.3</v>
      </c>
      <c r="I30" s="3">
        <v>20.25</v>
      </c>
    </row>
    <row r="31" spans="2:11" x14ac:dyDescent="0.25">
      <c r="B31" s="7" t="s">
        <v>69</v>
      </c>
      <c r="C31" s="6" t="s">
        <v>60</v>
      </c>
      <c r="D31" s="6" t="s">
        <v>61</v>
      </c>
      <c r="E31" s="10">
        <v>40.5</v>
      </c>
      <c r="F31" s="3">
        <v>0</v>
      </c>
      <c r="G31" s="3">
        <v>-40.5</v>
      </c>
      <c r="H31" s="3">
        <v>-10.8</v>
      </c>
      <c r="I31" s="3">
        <v>0</v>
      </c>
    </row>
    <row r="32" spans="2:11" x14ac:dyDescent="0.25">
      <c r="B32" s="7" t="s">
        <v>70</v>
      </c>
      <c r="C32" s="6" t="s">
        <v>60</v>
      </c>
      <c r="D32" s="6" t="s">
        <v>61</v>
      </c>
      <c r="E32" s="10">
        <v>114.75</v>
      </c>
      <c r="F32" s="3">
        <v>-33.75</v>
      </c>
      <c r="G32" s="3">
        <v>40.5</v>
      </c>
      <c r="H32" s="3">
        <v>27</v>
      </c>
      <c r="I32" s="3">
        <v>20.25</v>
      </c>
    </row>
    <row r="33" spans="2:11" x14ac:dyDescent="0.25">
      <c r="B33" s="7" t="s">
        <v>71</v>
      </c>
      <c r="C33" s="6" t="s">
        <v>72</v>
      </c>
      <c r="D33" s="6" t="s">
        <v>61</v>
      </c>
      <c r="E33" s="10">
        <v>115</v>
      </c>
      <c r="F33" s="3">
        <v>0</v>
      </c>
      <c r="G33" s="3">
        <v>27</v>
      </c>
      <c r="H33" s="3">
        <v>18</v>
      </c>
      <c r="I33" s="3">
        <v>0</v>
      </c>
    </row>
    <row r="34" spans="2:11" x14ac:dyDescent="0.25">
      <c r="B34" s="7" t="s">
        <v>73</v>
      </c>
      <c r="C34" s="6" t="s">
        <v>72</v>
      </c>
      <c r="D34" s="6" t="s">
        <v>61</v>
      </c>
      <c r="E34" s="10">
        <v>125</v>
      </c>
      <c r="F34" s="3">
        <v>0</v>
      </c>
      <c r="G34" s="3">
        <v>30</v>
      </c>
      <c r="H34" s="3">
        <v>20</v>
      </c>
      <c r="I34" s="3">
        <v>0</v>
      </c>
    </row>
    <row r="35" spans="2:11" x14ac:dyDescent="0.25">
      <c r="B35" s="7" t="s">
        <v>74</v>
      </c>
      <c r="C35" s="6" t="s">
        <v>72</v>
      </c>
      <c r="D35" s="6" t="s">
        <v>61</v>
      </c>
      <c r="E35" s="10">
        <v>-10</v>
      </c>
      <c r="F35" s="3">
        <v>0</v>
      </c>
      <c r="G35" s="3">
        <v>-42</v>
      </c>
      <c r="H35" s="3">
        <v>-16</v>
      </c>
      <c r="I35" s="3">
        <v>0</v>
      </c>
    </row>
    <row r="36" spans="2:11" x14ac:dyDescent="0.25">
      <c r="B36" s="7" t="s">
        <v>75</v>
      </c>
      <c r="C36" s="6" t="s">
        <v>72</v>
      </c>
      <c r="D36" s="6" t="s">
        <v>61</v>
      </c>
      <c r="E36" s="10">
        <v>45</v>
      </c>
      <c r="F36" s="3">
        <v>-25</v>
      </c>
      <c r="G36" s="3">
        <v>18</v>
      </c>
      <c r="H36" s="3">
        <v>12</v>
      </c>
      <c r="I36" s="3">
        <v>15</v>
      </c>
    </row>
    <row r="37" spans="2:11" x14ac:dyDescent="0.25">
      <c r="B37" s="7" t="s">
        <v>76</v>
      </c>
      <c r="C37" s="6" t="s">
        <v>72</v>
      </c>
      <c r="D37" s="6" t="s">
        <v>61</v>
      </c>
      <c r="E37" s="10">
        <v>26.5</v>
      </c>
      <c r="F37" s="3">
        <v>0</v>
      </c>
      <c r="G37" s="3">
        <v>-27.9</v>
      </c>
      <c r="H37" s="3">
        <v>-7.8</v>
      </c>
      <c r="I37" s="3">
        <v>0</v>
      </c>
    </row>
    <row r="38" spans="2:11" x14ac:dyDescent="0.25">
      <c r="B38" s="7" t="s">
        <v>77</v>
      </c>
      <c r="C38" s="6" t="s">
        <v>72</v>
      </c>
      <c r="D38" s="6" t="s">
        <v>61</v>
      </c>
      <c r="E38" s="10">
        <v>76</v>
      </c>
      <c r="F38" s="3">
        <v>-22.5</v>
      </c>
      <c r="G38" s="3">
        <v>26.1</v>
      </c>
      <c r="H38" s="3">
        <v>17.399999999999999</v>
      </c>
      <c r="I38" s="3">
        <v>13.5</v>
      </c>
    </row>
    <row r="39" spans="2:11" x14ac:dyDescent="0.25">
      <c r="B39" s="7" t="s">
        <v>78</v>
      </c>
      <c r="C39" s="6" t="s">
        <v>79</v>
      </c>
      <c r="D39" s="6" t="s">
        <v>61</v>
      </c>
      <c r="E39" s="10">
        <v>138.63999999999999</v>
      </c>
      <c r="F39" s="3">
        <v>43.2</v>
      </c>
      <c r="G39" s="3">
        <v>218.7</v>
      </c>
      <c r="H39" s="3">
        <v>93</v>
      </c>
      <c r="I39" s="3">
        <v>19.440000000000001</v>
      </c>
    </row>
    <row r="40" spans="2:11" x14ac:dyDescent="0.25">
      <c r="B40" s="7" t="s">
        <v>80</v>
      </c>
      <c r="C40" s="6" t="s">
        <v>79</v>
      </c>
      <c r="D40" s="6" t="s">
        <v>61</v>
      </c>
      <c r="E40" s="10">
        <v>121.36</v>
      </c>
      <c r="F40" s="3">
        <v>-43.2</v>
      </c>
      <c r="G40" s="3">
        <v>218.7</v>
      </c>
      <c r="H40" s="3">
        <v>93</v>
      </c>
      <c r="I40" s="3">
        <v>-19.440000000000001</v>
      </c>
    </row>
    <row r="41" spans="2:11" x14ac:dyDescent="0.25">
      <c r="B41" s="7" t="s">
        <v>81</v>
      </c>
      <c r="C41" s="6" t="s">
        <v>79</v>
      </c>
      <c r="D41" s="6" t="s">
        <v>61</v>
      </c>
      <c r="E41" s="10">
        <v>133.6</v>
      </c>
      <c r="F41" s="3">
        <v>144</v>
      </c>
      <c r="G41" s="3">
        <v>80.099999999999994</v>
      </c>
      <c r="H41" s="3">
        <v>37.56</v>
      </c>
      <c r="I41" s="3">
        <v>64.8</v>
      </c>
    </row>
    <row r="42" spans="2:11" x14ac:dyDescent="0.25">
      <c r="B42" s="7" t="s">
        <v>82</v>
      </c>
      <c r="C42" s="6" t="s">
        <v>79</v>
      </c>
      <c r="D42" s="6" t="s">
        <v>61</v>
      </c>
      <c r="E42" s="10">
        <v>76</v>
      </c>
      <c r="F42" s="3">
        <v>-144</v>
      </c>
      <c r="G42" s="3">
        <v>80.099999999999994</v>
      </c>
      <c r="H42" s="3">
        <v>37.56</v>
      </c>
      <c r="I42" s="3">
        <v>-64.8</v>
      </c>
    </row>
    <row r="43" spans="2:11" x14ac:dyDescent="0.25">
      <c r="B43" s="7" t="s">
        <v>83</v>
      </c>
      <c r="C43" s="6" t="s">
        <v>79</v>
      </c>
      <c r="D43" s="6" t="s">
        <v>61</v>
      </c>
      <c r="E43" s="10">
        <v>49.36</v>
      </c>
      <c r="F43" s="3">
        <v>-43.2</v>
      </c>
      <c r="G43" s="3">
        <v>-177.3</v>
      </c>
      <c r="H43" s="3">
        <v>-65.400000000000006</v>
      </c>
      <c r="I43" s="3">
        <v>-19.440000000000001</v>
      </c>
    </row>
    <row r="44" spans="2:11" x14ac:dyDescent="0.25">
      <c r="B44" s="7" t="s">
        <v>84</v>
      </c>
      <c r="C44" s="6" t="s">
        <v>79</v>
      </c>
      <c r="D44" s="6" t="s">
        <v>61</v>
      </c>
      <c r="E44" s="10">
        <v>66.64</v>
      </c>
      <c r="F44" s="3">
        <v>43.2</v>
      </c>
      <c r="G44" s="3">
        <v>-177.3</v>
      </c>
      <c r="H44" s="3">
        <v>-65.400000000000006</v>
      </c>
      <c r="I44" s="3">
        <v>19.440000000000001</v>
      </c>
    </row>
    <row r="45" spans="2:11" x14ac:dyDescent="0.25">
      <c r="B45" s="7" t="s">
        <v>85</v>
      </c>
      <c r="C45" s="6" t="s">
        <v>79</v>
      </c>
      <c r="D45" s="6" t="s">
        <v>61</v>
      </c>
      <c r="E45" s="10">
        <v>54.4</v>
      </c>
      <c r="F45" s="3">
        <v>-144</v>
      </c>
      <c r="G45" s="3">
        <v>-38.700000000000003</v>
      </c>
      <c r="H45" s="3">
        <v>-9.9600000000000009</v>
      </c>
      <c r="I45" s="3">
        <v>-64.8</v>
      </c>
    </row>
    <row r="46" spans="2:11" x14ac:dyDescent="0.25">
      <c r="B46" s="7" t="s">
        <v>86</v>
      </c>
      <c r="C46" s="6" t="s">
        <v>79</v>
      </c>
      <c r="D46" s="6" t="s">
        <v>61</v>
      </c>
      <c r="E46" s="10">
        <v>112</v>
      </c>
      <c r="F46" s="3">
        <v>144</v>
      </c>
      <c r="G46" s="3">
        <v>-38.700000000000003</v>
      </c>
      <c r="H46" s="3">
        <v>-9.9600000000000009</v>
      </c>
      <c r="I46" s="3">
        <v>64.8</v>
      </c>
    </row>
    <row r="48" spans="2:11" ht="20.100000000000001" customHeight="1" x14ac:dyDescent="0.25">
      <c r="B48" s="28" t="s">
        <v>87</v>
      </c>
      <c r="C48" s="29"/>
      <c r="D48" s="29"/>
      <c r="E48" s="29"/>
      <c r="F48" s="29"/>
      <c r="G48" s="29"/>
      <c r="H48" s="29"/>
      <c r="I48" s="29"/>
      <c r="J48" s="29"/>
      <c r="K48" s="29"/>
    </row>
    <row r="49" spans="2:11" ht="20.100000000000001" customHeight="1" x14ac:dyDescent="0.25">
      <c r="B49" s="2" t="s">
        <v>88</v>
      </c>
      <c r="C49" s="23" t="s">
        <v>89</v>
      </c>
      <c r="D49" s="24"/>
      <c r="E49" s="25"/>
      <c r="F49" s="2" t="s">
        <v>90</v>
      </c>
    </row>
    <row r="50" spans="2:11" x14ac:dyDescent="0.25">
      <c r="B50" s="7" t="s">
        <v>91</v>
      </c>
      <c r="C50" s="18" t="s">
        <v>92</v>
      </c>
      <c r="D50" s="19"/>
      <c r="E50" s="19"/>
      <c r="F50" s="3">
        <f>$E$6*$C$15*$D$15*$E$15</f>
        <v>122.890625</v>
      </c>
    </row>
    <row r="51" spans="2:11" x14ac:dyDescent="0.25">
      <c r="B51" s="7" t="s">
        <v>93</v>
      </c>
      <c r="C51" s="18" t="s">
        <v>94</v>
      </c>
      <c r="D51" s="19"/>
      <c r="E51" s="19"/>
      <c r="F51" s="3">
        <f>$E$6*$B$10*$C$10*$E$10</f>
        <v>6.5625</v>
      </c>
    </row>
    <row r="52" spans="2:11" x14ac:dyDescent="0.25">
      <c r="B52" s="7" t="s">
        <v>95</v>
      </c>
      <c r="C52" s="18" t="s">
        <v>96</v>
      </c>
      <c r="D52" s="19"/>
      <c r="E52" s="19"/>
      <c r="F52" s="3">
        <f>$I$6*($C$15*$D$15-$B$10*$C$10)*MAX($G$6-$E$15,0)</f>
        <v>111.88124999999999</v>
      </c>
    </row>
    <row r="53" spans="2:11" x14ac:dyDescent="0.25">
      <c r="B53" s="11" t="s">
        <v>97</v>
      </c>
      <c r="C53" s="18" t="s">
        <v>98</v>
      </c>
      <c r="D53" s="19"/>
      <c r="E53" s="19"/>
      <c r="F53" s="10">
        <f>$F$50+$F$51+$F$52</f>
        <v>241.33437499999999</v>
      </c>
    </row>
    <row r="55" spans="2:11" ht="20.100000000000001" customHeight="1" x14ac:dyDescent="0.25">
      <c r="B55" s="28" t="s">
        <v>99</v>
      </c>
      <c r="C55" s="29"/>
      <c r="D55" s="29"/>
      <c r="E55" s="29"/>
      <c r="F55" s="29"/>
      <c r="G55" s="29"/>
      <c r="H55" s="29"/>
      <c r="I55" s="29"/>
      <c r="J55" s="29"/>
      <c r="K55" s="29"/>
    </row>
    <row r="56" spans="2:11" ht="30" customHeight="1" x14ac:dyDescent="0.25">
      <c r="B56" s="20" t="s">
        <v>100</v>
      </c>
      <c r="C56" s="21"/>
      <c r="D56" s="21"/>
      <c r="E56" s="21"/>
      <c r="F56" s="21"/>
      <c r="G56" s="21"/>
      <c r="H56" s="21"/>
      <c r="I56" s="21"/>
      <c r="J56" s="21"/>
      <c r="K56" s="21"/>
    </row>
    <row r="57" spans="2:11" ht="32.1" customHeight="1" x14ac:dyDescent="0.25">
      <c r="B57" s="2" t="s">
        <v>51</v>
      </c>
      <c r="C57" s="2" t="s">
        <v>101</v>
      </c>
      <c r="D57" s="2" t="s">
        <v>102</v>
      </c>
      <c r="E57" s="2" t="s">
        <v>103</v>
      </c>
      <c r="F57" s="2" t="s">
        <v>104</v>
      </c>
      <c r="G57" s="2" t="s">
        <v>105</v>
      </c>
      <c r="H57" s="2" t="s">
        <v>106</v>
      </c>
    </row>
    <row r="58" spans="2:11" x14ac:dyDescent="0.25">
      <c r="B58" s="7" t="s">
        <v>59</v>
      </c>
      <c r="C58" s="3">
        <v>1.35</v>
      </c>
      <c r="D58" s="10">
        <f>$E$23+$C$58*$F$53</f>
        <v>485.55140625000001</v>
      </c>
      <c r="E58" s="3">
        <f>$G$23+$H$23*$F$10</f>
        <v>80.639999999999986</v>
      </c>
      <c r="F58" s="3">
        <f>$F$23-$I$23*$F$10</f>
        <v>0</v>
      </c>
      <c r="G58" s="5">
        <f>IF($D$58&gt;0,ABS($E$58)/$D$58,"N ≤ 0")</f>
        <v>0.16607922243042619</v>
      </c>
      <c r="H58" s="5">
        <f>IF($D$58&gt;0,ABS($F$58)/$D$58,"N ≤ 0")</f>
        <v>0</v>
      </c>
    </row>
    <row r="59" spans="2:11" x14ac:dyDescent="0.25">
      <c r="B59" s="7" t="s">
        <v>62</v>
      </c>
      <c r="C59" s="3">
        <v>1.35</v>
      </c>
      <c r="D59" s="10">
        <f>$E$24+$C$59*$F$53</f>
        <v>500.55140625000001</v>
      </c>
      <c r="E59" s="3">
        <f>$G$24+$H$24*$F$10</f>
        <v>90.24</v>
      </c>
      <c r="F59" s="3">
        <f>$F$24-$I$24*$F$10</f>
        <v>0</v>
      </c>
      <c r="G59" s="5">
        <f>IF($D$59&gt;0,ABS($E$59)/$D$59,"N ≤ 0")</f>
        <v>0.1802811836571481</v>
      </c>
      <c r="H59" s="5">
        <f>IF($D$59&gt;0,ABS($F$59)/$D$59,"N ≤ 0")</f>
        <v>0</v>
      </c>
    </row>
    <row r="60" spans="2:11" x14ac:dyDescent="0.25">
      <c r="B60" s="7" t="s">
        <v>63</v>
      </c>
      <c r="C60" s="3">
        <v>1.35</v>
      </c>
      <c r="D60" s="10">
        <f>$E$25+$C$60*$F$53</f>
        <v>298.05140625000001</v>
      </c>
      <c r="E60" s="3">
        <f>$G$25+$H$25*$F$10</f>
        <v>-109.56</v>
      </c>
      <c r="F60" s="3">
        <f>$F$25-$I$25*$F$10</f>
        <v>0</v>
      </c>
      <c r="G60" s="5">
        <f>IF($D$60&gt;0,ABS($E$60)/$D$60,"N ≤ 0")</f>
        <v>0.36758759630915178</v>
      </c>
      <c r="H60" s="5">
        <f>IF($D$60&gt;0,ABS($F$60)/$D$60,"N ≤ 0")</f>
        <v>0</v>
      </c>
    </row>
    <row r="61" spans="2:11" x14ac:dyDescent="0.25">
      <c r="B61" s="7" t="s">
        <v>64</v>
      </c>
      <c r="C61" s="3">
        <v>1.35</v>
      </c>
      <c r="D61" s="10">
        <f>$E$26+$C$61*$F$53</f>
        <v>380.55140625000001</v>
      </c>
      <c r="E61" s="3">
        <f>$G$26+$H$26*$F$10</f>
        <v>51.84</v>
      </c>
      <c r="F61" s="3">
        <f>$F$26-$I$26*$F$10</f>
        <v>-75.75</v>
      </c>
      <c r="G61" s="5">
        <f>IF($D$61&gt;0,ABS($E$61)/$D$61,"N ≤ 0")</f>
        <v>0.13622338309254375</v>
      </c>
      <c r="H61" s="5">
        <f>IF($D$61&gt;0,ABS($F$61)/$D$61,"N ≤ 0")</f>
        <v>0.1990532652249265</v>
      </c>
    </row>
    <row r="62" spans="2:11" x14ac:dyDescent="0.25">
      <c r="B62" s="7" t="s">
        <v>65</v>
      </c>
      <c r="C62" s="3">
        <v>1</v>
      </c>
      <c r="D62" s="10">
        <f>$E$27+$C$62*$F$53</f>
        <v>183.83437499999999</v>
      </c>
      <c r="E62" s="3">
        <f>$G$27+$H$27*$F$10</f>
        <v>-123</v>
      </c>
      <c r="F62" s="3">
        <f>$F$27-$I$27*$F$10</f>
        <v>0</v>
      </c>
      <c r="G62" s="5">
        <f>IF($D$62&gt;0,ABS($E$62)/$D$62,"N ≤ 0")</f>
        <v>0.66908052424906928</v>
      </c>
      <c r="H62" s="5">
        <f>IF($D$62&gt;0,ABS($F$62)/$D$62,"N ≤ 0")</f>
        <v>0</v>
      </c>
    </row>
    <row r="63" spans="2:11" x14ac:dyDescent="0.25">
      <c r="B63" s="7" t="s">
        <v>66</v>
      </c>
      <c r="C63" s="3">
        <v>1</v>
      </c>
      <c r="D63" s="10">
        <f>$E$28+$C$63*$F$53</f>
        <v>266.33437500000002</v>
      </c>
      <c r="E63" s="3">
        <f>$G$28+$H$28*$F$10</f>
        <v>38.4</v>
      </c>
      <c r="F63" s="3">
        <f>$F$28-$I$28*$F$10</f>
        <v>-75.75</v>
      </c>
      <c r="G63" s="5">
        <f>IF($D$63&gt;0,ABS($E$63)/$D$63,"N ≤ 0")</f>
        <v>0.14417966137491639</v>
      </c>
      <c r="H63" s="5">
        <f>IF($D$63&gt;0,ABS($F$63)/$D$63,"N ≤ 0")</f>
        <v>0.28441691013411241</v>
      </c>
    </row>
    <row r="64" spans="2:11" x14ac:dyDescent="0.25">
      <c r="B64" s="7" t="s">
        <v>67</v>
      </c>
      <c r="C64" s="3">
        <v>1.35</v>
      </c>
      <c r="D64" s="10">
        <f>$E$29+$C$64*$F$53</f>
        <v>352.80140625000001</v>
      </c>
      <c r="E64" s="3">
        <f>$G$29+$H$29*$F$10</f>
        <v>-67.5</v>
      </c>
      <c r="F64" s="3">
        <f>$F$29-$I$29*$F$10</f>
        <v>0</v>
      </c>
      <c r="G64" s="5">
        <f>IF($D$64&gt;0,ABS($E$64)/$D$64,"N ≤ 0")</f>
        <v>0.19132576799359058</v>
      </c>
      <c r="H64" s="5">
        <f>IF($D$64&gt;0,ABS($F$64)/$D$64,"N ≤ 0")</f>
        <v>0</v>
      </c>
    </row>
    <row r="65" spans="2:8" x14ac:dyDescent="0.25">
      <c r="B65" s="7" t="s">
        <v>68</v>
      </c>
      <c r="C65" s="3">
        <v>1.35</v>
      </c>
      <c r="D65" s="10">
        <f>$E$30+$C$65*$F$53</f>
        <v>427.05140625000001</v>
      </c>
      <c r="E65" s="3">
        <f>$G$30+$H$30*$F$10</f>
        <v>77.760000000000005</v>
      </c>
      <c r="F65" s="3">
        <f>$F$30-$I$30*$F$10</f>
        <v>-68.174999999999997</v>
      </c>
      <c r="G65" s="5">
        <f>IF($D$65&gt;0,ABS($E$65)/$D$65,"N ≤ 0")</f>
        <v>0.18208580714631473</v>
      </c>
      <c r="H65" s="5">
        <f>IF($D$65&gt;0,ABS($F$65)/$D$65,"N ≤ 0")</f>
        <v>0.15964120244598773</v>
      </c>
    </row>
    <row r="66" spans="2:8" x14ac:dyDescent="0.25">
      <c r="B66" s="7" t="s">
        <v>69</v>
      </c>
      <c r="C66" s="3">
        <v>1.35</v>
      </c>
      <c r="D66" s="10">
        <f>$E$31+$C$66*$F$53</f>
        <v>366.30140625000001</v>
      </c>
      <c r="E66" s="3">
        <f>$G$31+$H$31*$F$10</f>
        <v>-58.86</v>
      </c>
      <c r="F66" s="3">
        <f>$F$31-$I$31*$F$10</f>
        <v>0</v>
      </c>
      <c r="G66" s="5">
        <f>IF($D$66&gt;0,ABS($E$66)/$D$66,"N ≤ 0")</f>
        <v>0.16068734379858798</v>
      </c>
      <c r="H66" s="5">
        <f>IF($D$66&gt;0,ABS($F$66)/$D$66,"N ≤ 0")</f>
        <v>0</v>
      </c>
    </row>
    <row r="67" spans="2:8" x14ac:dyDescent="0.25">
      <c r="B67" s="7" t="s">
        <v>70</v>
      </c>
      <c r="C67" s="3">
        <v>1.35</v>
      </c>
      <c r="D67" s="10">
        <f>$E$32+$C$67*$F$53</f>
        <v>440.55140625000001</v>
      </c>
      <c r="E67" s="3">
        <f>$G$32+$H$32*$F$10</f>
        <v>86.4</v>
      </c>
      <c r="F67" s="3">
        <f>$F$32-$I$32*$F$10</f>
        <v>-68.174999999999997</v>
      </c>
      <c r="G67" s="5">
        <f>IF($D$67&gt;0,ABS($E$67)/$D$67,"N ≤ 0")</f>
        <v>0.19611786223869307</v>
      </c>
      <c r="H67" s="5">
        <f>IF($D$67&gt;0,ABS($F$67)/$D$67,"N ≤ 0")</f>
        <v>0.15474925067271872</v>
      </c>
    </row>
    <row r="68" spans="2:8" x14ac:dyDescent="0.25">
      <c r="B68" s="7" t="s">
        <v>71</v>
      </c>
      <c r="C68" s="3">
        <v>1</v>
      </c>
      <c r="D68" s="10">
        <f>$E$33+$C$68*$F$53</f>
        <v>356.33437500000002</v>
      </c>
      <c r="E68" s="3">
        <f>$G$33+$H$33*$F$10</f>
        <v>57.599999999999994</v>
      </c>
      <c r="F68" s="3">
        <f>$F$33-$I$33*$F$10</f>
        <v>0</v>
      </c>
      <c r="G68" s="5">
        <f>IF($D$68&gt;0,ABS($E$68)/$D$68,"N ≤ 0")</f>
        <v>0.16164592596490301</v>
      </c>
      <c r="H68" s="5">
        <f>IF($D$68&gt;0,ABS($F$68)/$D$68,"N ≤ 0")</f>
        <v>0</v>
      </c>
    </row>
    <row r="69" spans="2:8" x14ac:dyDescent="0.25">
      <c r="B69" s="7" t="s">
        <v>73</v>
      </c>
      <c r="C69" s="3">
        <v>1</v>
      </c>
      <c r="D69" s="10">
        <f>$E$34+$C$69*$F$53</f>
        <v>366.33437500000002</v>
      </c>
      <c r="E69" s="3">
        <f>$G$34+$H$34*$F$10</f>
        <v>64</v>
      </c>
      <c r="F69" s="3">
        <f>$F$34-$I$34*$F$10</f>
        <v>0</v>
      </c>
      <c r="G69" s="5">
        <f>IF($D$69&gt;0,ABS($E$69)/$D$69,"N ≤ 0")</f>
        <v>0.1747037798459399</v>
      </c>
      <c r="H69" s="5">
        <f>IF($D$69&gt;0,ABS($F$69)/$D$69,"N ≤ 0")</f>
        <v>0</v>
      </c>
    </row>
    <row r="70" spans="2:8" x14ac:dyDescent="0.25">
      <c r="B70" s="7" t="s">
        <v>74</v>
      </c>
      <c r="C70" s="3">
        <v>1</v>
      </c>
      <c r="D70" s="10">
        <f>$E$35+$C$70*$F$53</f>
        <v>231.33437499999999</v>
      </c>
      <c r="E70" s="3">
        <f>$G$35+$H$35*$F$10</f>
        <v>-69.2</v>
      </c>
      <c r="F70" s="3">
        <f>$F$35-$I$35*$F$10</f>
        <v>0</v>
      </c>
      <c r="G70" s="5">
        <f>IF($D$70&gt;0,ABS($E$70)/$D$70,"N ≤ 0")</f>
        <v>0.2991340997203723</v>
      </c>
      <c r="H70" s="5">
        <f>IF($D$70&gt;0,ABS($F$70)/$D$70,"N ≤ 0")</f>
        <v>0</v>
      </c>
    </row>
    <row r="71" spans="2:8" x14ac:dyDescent="0.25">
      <c r="B71" s="7" t="s">
        <v>75</v>
      </c>
      <c r="C71" s="3">
        <v>1</v>
      </c>
      <c r="D71" s="10">
        <f>$E$36+$C$71*$F$53</f>
        <v>286.33437500000002</v>
      </c>
      <c r="E71" s="3">
        <f>$G$36+$H$36*$F$10</f>
        <v>38.4</v>
      </c>
      <c r="F71" s="3">
        <f>$F$36-$I$36*$F$10</f>
        <v>-50.5</v>
      </c>
      <c r="G71" s="5">
        <f>IF($D$71&gt;0,ABS($E$71)/$D$71,"N ≤ 0")</f>
        <v>0.13410894168749385</v>
      </c>
      <c r="H71" s="5">
        <f>IF($D$71&gt;0,ABS($F$71)/$D$71,"N ≤ 0")</f>
        <v>0.17636722800048019</v>
      </c>
    </row>
    <row r="72" spans="2:8" x14ac:dyDescent="0.25">
      <c r="B72" s="7" t="s">
        <v>76</v>
      </c>
      <c r="C72" s="3">
        <v>1</v>
      </c>
      <c r="D72" s="10">
        <f>$E$37+$C$72*$F$53</f>
        <v>267.83437500000002</v>
      </c>
      <c r="E72" s="3">
        <f>$G$37+$H$37*$F$10</f>
        <v>-41.16</v>
      </c>
      <c r="F72" s="3">
        <f>$F$37-$I$37*$F$10</f>
        <v>0</v>
      </c>
      <c r="G72" s="5">
        <f>IF($D$72&gt;0,ABS($E$72)/$D$72,"N ≤ 0")</f>
        <v>0.15367706255031674</v>
      </c>
      <c r="H72" s="5">
        <f>IF($D$72&gt;0,ABS($F$72)/$D$72,"N ≤ 0")</f>
        <v>0</v>
      </c>
    </row>
    <row r="73" spans="2:8" x14ac:dyDescent="0.25">
      <c r="B73" s="7" t="s">
        <v>77</v>
      </c>
      <c r="C73" s="3">
        <v>1</v>
      </c>
      <c r="D73" s="10">
        <f>$E$38+$C$73*$F$53</f>
        <v>317.33437500000002</v>
      </c>
      <c r="E73" s="3">
        <f>$G$38+$H$38*$F$10</f>
        <v>55.68</v>
      </c>
      <c r="F73" s="3">
        <f>$F$38-$I$38*$F$10</f>
        <v>-45.45</v>
      </c>
      <c r="G73" s="5">
        <f>IF($D$73&gt;0,ABS($E$73)/$D$73,"N ≤ 0")</f>
        <v>0.17546160891015983</v>
      </c>
      <c r="H73" s="5">
        <f>IF($D$73&gt;0,ABS($F$73)/$D$73,"N ≤ 0")</f>
        <v>0.14322431977310998</v>
      </c>
    </row>
    <row r="74" spans="2:8" x14ac:dyDescent="0.25">
      <c r="B74" s="7" t="s">
        <v>78</v>
      </c>
      <c r="C74" s="3">
        <v>1</v>
      </c>
      <c r="D74" s="10">
        <f>$E$39+$C$74*$F$53</f>
        <v>379.97437500000001</v>
      </c>
      <c r="E74" s="3">
        <f>$G$39+$H$39*$F$10</f>
        <v>376.79999999999995</v>
      </c>
      <c r="F74" s="3">
        <f>$F$39-$I$39*$F$10</f>
        <v>10.152000000000001</v>
      </c>
      <c r="G74" s="5">
        <f>IF($D$74&gt;0,ABS($E$74)/$D$74,"N ≤ 0")</f>
        <v>0.99164581822129438</v>
      </c>
      <c r="H74" s="5">
        <f>IF($D$74&gt;0,ABS($F$74)/$D$74,"N ≤ 0")</f>
        <v>2.6717591153350803E-2</v>
      </c>
    </row>
    <row r="75" spans="2:8" x14ac:dyDescent="0.25">
      <c r="B75" s="7" t="s">
        <v>80</v>
      </c>
      <c r="C75" s="3">
        <v>1</v>
      </c>
      <c r="D75" s="10">
        <f>$E$40+$C$75*$F$53</f>
        <v>362.69437499999998</v>
      </c>
      <c r="E75" s="3">
        <f>$G$40+$H$40*$F$10</f>
        <v>376.79999999999995</v>
      </c>
      <c r="F75" s="3">
        <f>$F$40-$I$40*$F$10</f>
        <v>-10.152000000000001</v>
      </c>
      <c r="G75" s="5">
        <f>IF($D$75&gt;0,ABS($E$75)/$D$75,"N ≤ 0")</f>
        <v>1.0388912152276968</v>
      </c>
      <c r="H75" s="5">
        <f>IF($D$75&gt;0,ABS($F$75)/$D$75,"N ≤ 0")</f>
        <v>2.7990508537663428E-2</v>
      </c>
    </row>
    <row r="76" spans="2:8" x14ac:dyDescent="0.25">
      <c r="B76" s="7" t="s">
        <v>81</v>
      </c>
      <c r="C76" s="3">
        <v>1</v>
      </c>
      <c r="D76" s="10">
        <f>$E$41+$C$76*$F$53</f>
        <v>374.93437499999999</v>
      </c>
      <c r="E76" s="3">
        <f>$G$41+$H$41*$F$10</f>
        <v>143.952</v>
      </c>
      <c r="F76" s="3">
        <f>$F$41-$I$41*$F$10</f>
        <v>33.840000000000003</v>
      </c>
      <c r="G76" s="5">
        <f>IF($D$76&gt;0,ABS($E$76)/$D$76,"N ≤ 0")</f>
        <v>0.3839391893581377</v>
      </c>
      <c r="H76" s="5">
        <f>IF($D$76&gt;0,ABS($F$76)/$D$76,"N ≤ 0")</f>
        <v>9.0255794764083727E-2</v>
      </c>
    </row>
    <row r="77" spans="2:8" x14ac:dyDescent="0.25">
      <c r="B77" s="7" t="s">
        <v>82</v>
      </c>
      <c r="C77" s="3">
        <v>1</v>
      </c>
      <c r="D77" s="10">
        <f>$E$42+$C$77*$F$53</f>
        <v>317.33437500000002</v>
      </c>
      <c r="E77" s="3">
        <f>$G$42+$H$42*$F$10</f>
        <v>143.952</v>
      </c>
      <c r="F77" s="3">
        <f>$F$42-$I$42*$F$10</f>
        <v>-33.840000000000003</v>
      </c>
      <c r="G77" s="5">
        <f>IF($D$77&gt;0,ABS($E$77)/$D$77,"N ≤ 0")</f>
        <v>0.4536287630358356</v>
      </c>
      <c r="H77" s="5">
        <f>IF($D$77&gt;0,ABS($F$77)/$D$77,"N ≤ 0")</f>
        <v>0.10663830541522645</v>
      </c>
    </row>
    <row r="78" spans="2:8" x14ac:dyDescent="0.25">
      <c r="B78" s="7" t="s">
        <v>83</v>
      </c>
      <c r="C78" s="3">
        <v>1</v>
      </c>
      <c r="D78" s="10">
        <f>$E$43+$C$78*$F$53</f>
        <v>290.69437499999998</v>
      </c>
      <c r="E78" s="3">
        <f>$G$43+$H$43*$F$10</f>
        <v>-288.48</v>
      </c>
      <c r="F78" s="3">
        <f>$F$43-$I$43*$F$10</f>
        <v>-10.152000000000001</v>
      </c>
      <c r="G78" s="5">
        <f>IF($D$78&gt;0,ABS($E$78)/$D$78,"N ≤ 0")</f>
        <v>0.99238246354096127</v>
      </c>
      <c r="H78" s="5">
        <f>IF($D$78&gt;0,ABS($F$78)/$D$78,"N ≤ 0")</f>
        <v>3.4923276379186907E-2</v>
      </c>
    </row>
    <row r="79" spans="2:8" x14ac:dyDescent="0.25">
      <c r="B79" s="7" t="s">
        <v>84</v>
      </c>
      <c r="C79" s="3">
        <v>1</v>
      </c>
      <c r="D79" s="10">
        <f>$E$44+$C$79*$F$53</f>
        <v>307.97437500000001</v>
      </c>
      <c r="E79" s="3">
        <f>$G$44+$H$44*$F$10</f>
        <v>-288.48</v>
      </c>
      <c r="F79" s="3">
        <f>$F$44-$I$44*$F$10</f>
        <v>10.152000000000001</v>
      </c>
      <c r="G79" s="5">
        <f>IF($D$79&gt;0,ABS($E$79)/$D$79,"N ≤ 0")</f>
        <v>0.93670130834748833</v>
      </c>
      <c r="H79" s="5">
        <f>IF($D$79&gt;0,ABS($F$79)/$D$79,"N ≤ 0")</f>
        <v>3.2963781483443227E-2</v>
      </c>
    </row>
    <row r="80" spans="2:8" x14ac:dyDescent="0.25">
      <c r="B80" s="7" t="s">
        <v>85</v>
      </c>
      <c r="C80" s="3">
        <v>1</v>
      </c>
      <c r="D80" s="10">
        <f>$E$45+$C$80*$F$53</f>
        <v>295.734375</v>
      </c>
      <c r="E80" s="3">
        <f>$G$45+$H$45*$F$10</f>
        <v>-55.632000000000005</v>
      </c>
      <c r="F80" s="3">
        <f>$F$45-$I$45*$F$10</f>
        <v>-33.840000000000003</v>
      </c>
      <c r="G80" s="5">
        <f>IF($D$80&gt;0,ABS($E$80)/$D$80,"N ≤ 0")</f>
        <v>0.1881147566967824</v>
      </c>
      <c r="H80" s="5">
        <f>IF($D$80&gt;0,ABS($F$80)/$D$80,"N ≤ 0")</f>
        <v>0.11442700903471233</v>
      </c>
    </row>
    <row r="81" spans="2:11" x14ac:dyDescent="0.25">
      <c r="B81" s="7" t="s">
        <v>86</v>
      </c>
      <c r="C81" s="3">
        <v>1</v>
      </c>
      <c r="D81" s="10">
        <f>$E$46+$C$81*$F$53</f>
        <v>353.33437500000002</v>
      </c>
      <c r="E81" s="3">
        <f>$G$46+$H$46*$F$10</f>
        <v>-55.632000000000005</v>
      </c>
      <c r="F81" s="3">
        <f>$F$46-$I$46*$F$10</f>
        <v>33.840000000000003</v>
      </c>
      <c r="G81" s="5">
        <f>IF($D$81&gt;0,ABS($E$81)/$D$81,"N ≤ 0")</f>
        <v>0.15744859242749876</v>
      </c>
      <c r="H81" s="5">
        <f>IF($D$81&gt;0,ABS($F$81)/$D$81,"N ≤ 0")</f>
        <v>9.5773302555122189E-2</v>
      </c>
    </row>
    <row r="83" spans="2:11" ht="20.100000000000001" customHeight="1" x14ac:dyDescent="0.25">
      <c r="B83" s="28" t="s">
        <v>107</v>
      </c>
      <c r="C83" s="29"/>
      <c r="D83" s="29"/>
      <c r="E83" s="29"/>
      <c r="F83" s="29"/>
      <c r="G83" s="29"/>
      <c r="H83" s="29"/>
      <c r="I83" s="29"/>
      <c r="J83" s="29"/>
      <c r="K83" s="29"/>
    </row>
    <row r="84" spans="2:11" ht="15" customHeight="1" x14ac:dyDescent="0.25">
      <c r="B84" s="20" t="s">
        <v>108</v>
      </c>
      <c r="C84" s="21"/>
      <c r="D84" s="21"/>
      <c r="E84" s="21"/>
      <c r="F84" s="21"/>
      <c r="G84" s="21"/>
      <c r="H84" s="21"/>
      <c r="I84" s="21"/>
      <c r="J84" s="21"/>
      <c r="K84" s="21"/>
    </row>
    <row r="85" spans="2:11" ht="20.100000000000001" customHeight="1" x14ac:dyDescent="0.25">
      <c r="B85" s="2" t="s">
        <v>51</v>
      </c>
      <c r="C85" s="2" t="s">
        <v>109</v>
      </c>
      <c r="D85" s="2" t="s">
        <v>110</v>
      </c>
      <c r="E85" s="2" t="s">
        <v>111</v>
      </c>
      <c r="F85" s="2" t="s">
        <v>112</v>
      </c>
      <c r="G85" s="2" t="s">
        <v>113</v>
      </c>
      <c r="H85" s="2" t="s">
        <v>114</v>
      </c>
      <c r="I85" s="2" t="s">
        <v>115</v>
      </c>
      <c r="J85" s="2" t="s">
        <v>116</v>
      </c>
      <c r="K85" s="2" t="s">
        <v>40</v>
      </c>
    </row>
    <row r="86" spans="2:11" ht="15.75" x14ac:dyDescent="0.25">
      <c r="B86" s="7" t="s">
        <v>59</v>
      </c>
      <c r="C86" s="10">
        <f>$D$58</f>
        <v>485.55140625000001</v>
      </c>
      <c r="D86" s="5">
        <f>$G$58</f>
        <v>0.16607922243042619</v>
      </c>
      <c r="E86" s="12" t="str">
        <f>IF($D$58&lt;=0,"N ≤ 0 : soulèvement",IF($G$58&lt;=$C$15/6+0.000001,"e &lt; A/6 =&gt; Diagramme Trapézoïdal",IF($G$58&lt;$C$15/2,"e &gt; A/6 =&gt; Diagramme triangulaire","e ≥ A/2 : instable")))</f>
        <v>e &lt; A/6 =&gt; Diagramme Trapézoïdal</v>
      </c>
      <c r="F86" s="3">
        <f>IF($D$58&lt;=0,0,IF($G$58&lt;=$C$15/6+0.000001,$D$58/($C$15*$D$15)*(1+6*$G$58/$C$15),IF($G$58&lt;$C$15/2,2*$D$58/(3*$D$15*($C$15/2-$G$58)),1000000000)))/100</f>
        <v>0.87470178437265222</v>
      </c>
      <c r="G86" s="3">
        <f>IF($D$58&lt;=0,0,IF($G$58&lt;=$C$15/6+0.000001,$D$58/($C$15*$D$15)*(1-6*$G$58/$C$15),0))/100</f>
        <v>0.4094011081893314</v>
      </c>
      <c r="H86" s="10">
        <f>(3*$F$86+$G$86)/4</f>
        <v>0.7583766153268221</v>
      </c>
      <c r="I86" s="3">
        <f t="shared" ref="I86:I95" si="0">$C$8</f>
        <v>3</v>
      </c>
      <c r="J86" s="13">
        <f>$H$86/$I$86</f>
        <v>0.25279220510894068</v>
      </c>
      <c r="K86" s="9" t="str">
        <f>IF($H$86&lt;=$I$86+0.00001,"OK","NON OK")</f>
        <v>OK</v>
      </c>
    </row>
    <row r="87" spans="2:11" ht="15.75" x14ac:dyDescent="0.25">
      <c r="B87" s="7" t="s">
        <v>62</v>
      </c>
      <c r="C87" s="10">
        <f>$D$59</f>
        <v>500.55140625000001</v>
      </c>
      <c r="D87" s="5">
        <f>$G$59</f>
        <v>0.1802811836571481</v>
      </c>
      <c r="E87" s="12" t="str">
        <f>IF($D$59&lt;=0,"N ≤ 0 : soulèvement",IF($G$59&lt;=$C$15/6+0.000001,"e &lt; A/6 =&gt; Diagramme Trapézoïdal",IF($G$59&lt;$C$15/2,"e &gt; A/6 =&gt; Diagramme triangulaire","e ≥ A/2 : instable")))</f>
        <v>e &lt; A/6 =&gt; Diagramme Trapézoïdal</v>
      </c>
      <c r="F87" s="3">
        <f>IF($D$59&lt;=0,0,IF($G$59&lt;=$C$15/6+0.000001,$D$59/($C$15*$D$15)*(1+6*$G$59/$C$15),IF($G$59&lt;$C$15/2,2*$D$59/(3*$D$15*($C$15/2-$G$59)),1000000000)))/100</f>
        <v>0.92223296393688958</v>
      </c>
      <c r="G87" s="3">
        <f>IF($D$59&lt;=0,0,IF($G$59&lt;=$C$15/6+0.000001,$D$59/($C$15*$D$15)*(1-6*$G$59/$C$15),0))/100</f>
        <v>0.40153935011269726</v>
      </c>
      <c r="H87" s="10">
        <f>(3*$F$87+$G$87)/4</f>
        <v>0.79205956048084147</v>
      </c>
      <c r="I87" s="3">
        <f t="shared" si="0"/>
        <v>3</v>
      </c>
      <c r="J87" s="13">
        <f>$H$87/$I$87</f>
        <v>0.26401985349361384</v>
      </c>
      <c r="K87" s="9" t="str">
        <f>IF($H$87&lt;=$I$87+0.00001,"OK","NON OK")</f>
        <v>OK</v>
      </c>
    </row>
    <row r="88" spans="2:11" ht="15.75" x14ac:dyDescent="0.25">
      <c r="B88" s="7" t="s">
        <v>63</v>
      </c>
      <c r="C88" s="10">
        <f>$D$60</f>
        <v>298.05140625000001</v>
      </c>
      <c r="D88" s="5">
        <f>$G$60</f>
        <v>0.36758759630915178</v>
      </c>
      <c r="E88" s="12" t="str">
        <f>IF($D$60&lt;=0,"N ≤ 0 : soulèvement",IF($G$60&lt;=$C$15/6+0.000001,"e &lt; A/6 =&gt; Diagramme Trapézoïdal",IF($G$60&lt;$C$15/2,"e &gt; A/6 =&gt; Diagramme triangulaire","e ≥ A/2 : instable")))</f>
        <v>e &lt; A/6 =&gt; Diagramme Trapézoïdal</v>
      </c>
      <c r="F88" s="3">
        <f>IF($D$60&lt;=0,0,IF($G$60&lt;=$C$15/6+0.000001,$D$60/($C$15*$D$15)*(1+6*$G$60/$C$15),IF($G$60&lt;$C$15/2,2*$D$60/(3*$D$15*($C$15/2-$G$60)),1000000000)))/100</f>
        <v>0.71020351239669421</v>
      </c>
      <c r="G88" s="3">
        <f>IF($D$60&lt;=0,0,IF($G$60&lt;=$C$15/6+0.000001,$D$60/($C$15*$D$15)*(1-6*$G$60/$C$15),0))/100</f>
        <v>7.8031611570247919E-2</v>
      </c>
      <c r="H88" s="10">
        <f>(3*$F$88+$G$88)/4</f>
        <v>0.55216053719008262</v>
      </c>
      <c r="I88" s="3">
        <f t="shared" si="0"/>
        <v>3</v>
      </c>
      <c r="J88" s="13">
        <f>$H$88/$I$88</f>
        <v>0.18405351239669421</v>
      </c>
      <c r="K88" s="9" t="str">
        <f>IF($H$88&lt;=$I$88+0.00001,"OK","NON OK")</f>
        <v>OK</v>
      </c>
    </row>
    <row r="89" spans="2:11" ht="15.75" x14ac:dyDescent="0.25">
      <c r="B89" s="7" t="s">
        <v>64</v>
      </c>
      <c r="C89" s="10">
        <f>$D$61</f>
        <v>380.55140625000001</v>
      </c>
      <c r="D89" s="5">
        <f>$G$61</f>
        <v>0.13622338309254375</v>
      </c>
      <c r="E89" s="12" t="str">
        <f>IF($D$61&lt;=0,"N ≤ 0 : soulèvement",IF($G$61&lt;=$C$15/6+0.000001,"e &lt; A/6 =&gt; Diagramme Trapézoïdal",IF($G$61&lt;$C$15/2,"e &gt; A/6 =&gt; Diagramme triangulaire","e ≥ A/2 : instable")))</f>
        <v>e &lt; A/6 =&gt; Diagramme Trapézoïdal</v>
      </c>
      <c r="F89" s="3">
        <f>IF($D$61&lt;=0,0,IF($G$61&lt;=$C$15/6+0.000001,$D$61/($C$15*$D$15)*(1+6*$G$61/$C$15),IF($G$61&lt;$C$15/2,2*$D$61/(3*$D$15*($C$15/2-$G$61)),1000000000)))/100</f>
        <v>0.65276940270473327</v>
      </c>
      <c r="G89" s="3">
        <f>IF($D$61&lt;=0,0,IF($G$61&lt;=$C$15/6+0.000001,$D$61/($C$15*$D$15)*(1-6*$G$61/$C$15),0))/100</f>
        <v>0.35364753944402705</v>
      </c>
      <c r="H89" s="10">
        <f>(3*$F$89+$G$89)/4</f>
        <v>0.57798893688955677</v>
      </c>
      <c r="I89" s="3">
        <f t="shared" si="0"/>
        <v>3</v>
      </c>
      <c r="J89" s="13">
        <f>$H$89/$I$89</f>
        <v>0.1926629789631856</v>
      </c>
      <c r="K89" s="9" t="str">
        <f>IF($H$89&lt;=$I$89+0.00001,"OK","NON OK")</f>
        <v>OK</v>
      </c>
    </row>
    <row r="90" spans="2:11" ht="15.75" x14ac:dyDescent="0.25">
      <c r="B90" s="7" t="s">
        <v>65</v>
      </c>
      <c r="C90" s="10">
        <f>$D$62</f>
        <v>183.83437499999999</v>
      </c>
      <c r="D90" s="5">
        <f>$G$62</f>
        <v>0.66908052424906928</v>
      </c>
      <c r="E90" s="12" t="str">
        <f>IF($D$62&lt;=0,"N ≤ 0 : soulèvement",IF($G$62&lt;=$C$15/6+0.000001,"e &lt; A/6 =&gt; Diagramme Trapézoïdal",IF($G$62&lt;$C$15/2,"e &gt; A/6 =&gt; Diagramme triangulaire","e ≥ A/2 : instable")))</f>
        <v>e &gt; A/6 =&gt; Diagramme triangulaire</v>
      </c>
      <c r="F90" s="3">
        <f>IF($D$62&lt;=0,0,IF($G$62&lt;=$C$15/6+0.000001,$D$62/($C$15*$D$15)*(1+6*$G$62/$C$15),IF($G$62&lt;$C$15/2,2*$D$62/(3*$D$15*($C$15/2-$G$62)),1000000000)))/100</f>
        <v>0.63131717740896076</v>
      </c>
      <c r="G90" s="3">
        <f>IF($D$62&lt;=0,0,IF($G$62&lt;=$C$15/6+0.000001,$D$62/($C$15*$D$15)*(1-6*$G$62/$C$15),0))/100</f>
        <v>0</v>
      </c>
      <c r="H90" s="10">
        <f>(3*$F$90+$G$90)/4</f>
        <v>0.47348788305672057</v>
      </c>
      <c r="I90" s="3">
        <f t="shared" si="0"/>
        <v>3</v>
      </c>
      <c r="J90" s="13">
        <f>$H$90/$I$90</f>
        <v>0.15782929435224019</v>
      </c>
      <c r="K90" s="9" t="str">
        <f>IF($H$90&lt;=$I$90+0.00001,"OK","NON OK")</f>
        <v>OK</v>
      </c>
    </row>
    <row r="91" spans="2:11" ht="15.75" x14ac:dyDescent="0.25">
      <c r="B91" s="7" t="s">
        <v>66</v>
      </c>
      <c r="C91" s="10">
        <f>$D$63</f>
        <v>266.33437500000002</v>
      </c>
      <c r="D91" s="5">
        <f>$G$63</f>
        <v>0.14417966137491639</v>
      </c>
      <c r="E91" s="12" t="str">
        <f>IF($D$63&lt;=0,"N ≤ 0 : soulèvement",IF($G$63&lt;=$C$15/6+0.000001,"e &lt; A/6 =&gt; Diagramme Trapézoïdal",IF($G$63&lt;$C$15/2,"e &gt; A/6 =&gt; Diagramme triangulaire","e ≥ A/2 : instable")))</f>
        <v>e &lt; A/6 =&gt; Diagramme Trapézoïdal</v>
      </c>
      <c r="F91" s="3">
        <f>IF($D$63&lt;=0,0,IF($G$63&lt;=$C$15/6+0.000001,$D$63/($C$15*$D$15)*(1+6*$G$63/$C$15),IF($G$63&lt;$C$15/2,2*$D$63/(3*$D$15*($C$15/2-$G$63)),1000000000)))/100</f>
        <v>0.46296356123215632</v>
      </c>
      <c r="G91" s="3">
        <f>IF($D$63&lt;=0,0,IF($G$63&lt;=$C$15/6+0.000001,$D$63/($C$15*$D$15)*(1-6*$G$63/$C$15),0))/100</f>
        <v>0.24139181066867024</v>
      </c>
      <c r="H91" s="10">
        <f>(3*$F$91+$G$91)/4</f>
        <v>0.40757062359128482</v>
      </c>
      <c r="I91" s="3">
        <f t="shared" si="0"/>
        <v>3</v>
      </c>
      <c r="J91" s="13">
        <f>$H$91/$I$91</f>
        <v>0.13585687453042827</v>
      </c>
      <c r="K91" s="9" t="str">
        <f>IF($H$91&lt;=$I$91+0.00001,"OK","NON OK")</f>
        <v>OK</v>
      </c>
    </row>
    <row r="92" spans="2:11" ht="15.75" x14ac:dyDescent="0.25">
      <c r="B92" s="7" t="s">
        <v>67</v>
      </c>
      <c r="C92" s="10">
        <f>$D$64</f>
        <v>352.80140625000001</v>
      </c>
      <c r="D92" s="5">
        <f>$G$64</f>
        <v>0.19132576799359058</v>
      </c>
      <c r="E92" s="12" t="str">
        <f>IF($D$64&lt;=0,"N ≤ 0 : soulèvement",IF($G$64&lt;=$C$15/6+0.000001,"e &lt; A/6 =&gt; Diagramme Trapézoïdal",IF($G$64&lt;$C$15/2,"e &gt; A/6 =&gt; Diagramme triangulaire","e ≥ A/2 : instable")))</f>
        <v>e &lt; A/6 =&gt; Diagramme Trapézoïdal</v>
      </c>
      <c r="F92" s="3">
        <f>IF($D$64&lt;=0,0,IF($G$64&lt;=$C$15/6+0.000001,$D$64/($C$15*$D$15)*(1+6*$G$64/$C$15),IF($G$64&lt;$C$15/2,2*$D$64/(3*$D$15*($C$15/2-$G$64)),1000000000)))/100</f>
        <v>0.6612550525920361</v>
      </c>
      <c r="G92" s="3">
        <f>IF($D$64&lt;=0,0,IF($G$64&lt;=$C$15/6+0.000001,$D$64/($C$15*$D$15)*(1-6*$G$64/$C$15),0))/100</f>
        <v>0.27177345980465817</v>
      </c>
      <c r="H92" s="10">
        <f>(3*$F$92+$G$92)/4</f>
        <v>0.56388465439519164</v>
      </c>
      <c r="I92" s="3">
        <f t="shared" si="0"/>
        <v>3</v>
      </c>
      <c r="J92" s="13">
        <f>$H$92/$I$92</f>
        <v>0.18796155146506388</v>
      </c>
      <c r="K92" s="9" t="str">
        <f>IF($H$92&lt;=$I$92+0.00001,"OK","NON OK")</f>
        <v>OK</v>
      </c>
    </row>
    <row r="93" spans="2:11" ht="15.75" x14ac:dyDescent="0.25">
      <c r="B93" s="7" t="s">
        <v>68</v>
      </c>
      <c r="C93" s="10">
        <f>$D$65</f>
        <v>427.05140625000001</v>
      </c>
      <c r="D93" s="5">
        <f>$G$65</f>
        <v>0.18208580714631473</v>
      </c>
      <c r="E93" s="12" t="str">
        <f>IF($D$65&lt;=0,"N ≤ 0 : soulèvement",IF($G$65&lt;=$C$15/6+0.000001,"e &lt; A/6 =&gt; Diagramme Trapézoïdal",IF($G$65&lt;$C$15/2,"e &gt; A/6 =&gt; Diagramme triangulaire","e ≥ A/2 : instable")))</f>
        <v>e &lt; A/6 =&gt; Diagramme Trapézoïdal</v>
      </c>
      <c r="F93" s="3">
        <f>IF($D$65&lt;=0,0,IF($G$65&lt;=$C$15/6+0.000001,$D$65/($C$15*$D$15)*(1+6*$G$65/$C$15),IF($G$65&lt;$C$15/2,2*$D$65/(3*$D$15*($C$15/2-$G$65)),1000000000)))/100</f>
        <v>0.78903747182569506</v>
      </c>
      <c r="G93" s="3">
        <f>IF($D$65&lt;=0,0,IF($G$65&lt;=$C$15/6+0.000001,$D$65/($C$15*$D$15)*(1-6*$G$65/$C$15),0))/100</f>
        <v>0.34035467693463561</v>
      </c>
      <c r="H93" s="10">
        <f>(3*$F$93+$G$93)/4</f>
        <v>0.6768667731029302</v>
      </c>
      <c r="I93" s="3">
        <f t="shared" si="0"/>
        <v>3</v>
      </c>
      <c r="J93" s="13">
        <f>$H$93/$I$93</f>
        <v>0.22562225770097674</v>
      </c>
      <c r="K93" s="9" t="str">
        <f>IF($H$93&lt;=$I$93+0.00001,"OK","NON OK")</f>
        <v>OK</v>
      </c>
    </row>
    <row r="94" spans="2:11" ht="15.75" x14ac:dyDescent="0.25">
      <c r="B94" s="7" t="s">
        <v>69</v>
      </c>
      <c r="C94" s="10">
        <f>$D$66</f>
        <v>366.30140625000001</v>
      </c>
      <c r="D94" s="5">
        <f>$G$66</f>
        <v>0.16068734379858798</v>
      </c>
      <c r="E94" s="12" t="str">
        <f>IF($D$66&lt;=0,"N ≤ 0 : soulèvement",IF($G$66&lt;=$C$15/6+0.000001,"e &lt; A/6 =&gt; Diagramme Trapézoïdal",IF($G$66&lt;$C$15/2,"e &gt; A/6 =&gt; Diagramme triangulaire","e ≥ A/2 : instable")))</f>
        <v>e &lt; A/6 =&gt; Diagramme Trapézoïdal</v>
      </c>
      <c r="F94" s="3">
        <f>IF($D$66&lt;=0,0,IF($G$66&lt;=$C$15/6+0.000001,$D$66/($C$15*$D$15)*(1+6*$G$66/$C$15),IF($G$66&lt;$C$15/2,2*$D$66/(3*$D$15*($C$15/2-$G$66)),1000000000)))/100</f>
        <v>0.65417947032306545</v>
      </c>
      <c r="G94" s="3">
        <f>IF($D$66&lt;=0,0,IF($G$66&lt;=$C$15/6+0.000001,$D$66/($C$15*$D$15)*(1-6*$G$66/$C$15),0))/100</f>
        <v>0.31455152141247189</v>
      </c>
      <c r="H94" s="10">
        <f>(3*$F$94+$G$94)/4</f>
        <v>0.569272483095417</v>
      </c>
      <c r="I94" s="3">
        <f t="shared" si="0"/>
        <v>3</v>
      </c>
      <c r="J94" s="13">
        <f>$H$94/$I$94</f>
        <v>0.189757494365139</v>
      </c>
      <c r="K94" s="9" t="str">
        <f>IF($H$94&lt;=$I$94+0.00001,"OK","NON OK")</f>
        <v>OK</v>
      </c>
    </row>
    <row r="95" spans="2:11" ht="15.75" x14ac:dyDescent="0.25">
      <c r="B95" s="7" t="s">
        <v>70</v>
      </c>
      <c r="C95" s="10">
        <f>$D$67</f>
        <v>440.55140625000001</v>
      </c>
      <c r="D95" s="5">
        <f>$G$67</f>
        <v>0.19611786223869307</v>
      </c>
      <c r="E95" s="12" t="str">
        <f>IF($D$67&lt;=0,"N ≤ 0 : soulèvement",IF($G$67&lt;=$C$15/6+0.000001,"e &lt; A/6 =&gt; Diagramme Trapézoïdal",IF($G$67&lt;$C$15/2,"e &gt; A/6 =&gt; Diagramme triangulaire","e ≥ A/2 : instable")))</f>
        <v>e &lt; A/6 =&gt; Diagramme Trapézoïdal</v>
      </c>
      <c r="F95" s="3">
        <f>IF($D$67&lt;=0,0,IF($G$67&lt;=$C$15/6+0.000001,$D$67/($C$15*$D$15)*(1+6*$G$67/$C$15),IF($G$67&lt;$C$15/2,2*$D$67/(3*$D$15*($C$15/2-$G$67)),1000000000)))/100</f>
        <v>0.83181553343350867</v>
      </c>
      <c r="G95" s="3">
        <f>IF($D$67&lt;=0,0,IF($G$67&lt;=$C$15/6+0.000001,$D$67/($C$15*$D$15)*(1-6*$G$67/$C$15),0))/100</f>
        <v>0.33327909466566491</v>
      </c>
      <c r="H95" s="10">
        <f>(3*$F$95+$G$95)/4</f>
        <v>0.70718142374154769</v>
      </c>
      <c r="I95" s="3">
        <f t="shared" si="0"/>
        <v>3</v>
      </c>
      <c r="J95" s="13">
        <f>$H$95/$I$95</f>
        <v>0.23572714124718255</v>
      </c>
      <c r="K95" s="9" t="str">
        <f>IF($H$95&lt;=$I$95+0.00001,"OK","NON OK")</f>
        <v>OK</v>
      </c>
    </row>
    <row r="96" spans="2:11" ht="15.75" x14ac:dyDescent="0.25">
      <c r="B96" s="7" t="s">
        <v>71</v>
      </c>
      <c r="C96" s="10">
        <f>$D$68</f>
        <v>356.33437500000002</v>
      </c>
      <c r="D96" s="5">
        <f>$G$68</f>
        <v>0.16164592596490301</v>
      </c>
      <c r="E96" s="12" t="str">
        <f>IF($D$68&lt;=0,"N ≤ 0 : soulèvement",IF($G$68&lt;=$C$15/6+0.000001,"e &lt; A/6 =&gt; Diagramme Trapézoïdal",IF($G$68&lt;$C$15/2,"e &gt; A/6 =&gt; Diagramme triangulaire","e ≥ A/2 : instable")))</f>
        <v>e &lt; A/6 =&gt; Diagramme Trapézoïdal</v>
      </c>
      <c r="F96" s="3">
        <f>IF($D$68&lt;=0,0,IF($G$68&lt;=$C$15/6+0.000001,$D$68/($C$15*$D$15)*(1+6*$G$68/$C$15),IF($G$68&lt;$C$15/2,2*$D$68/(3*$D$15*($C$15/2-$G$68)),1000000000)))/100</f>
        <v>0.63736476333583769</v>
      </c>
      <c r="G96" s="3">
        <f>IF($D$68&lt;=0,0,IF($G$68&lt;=$C$15/6+0.000001,$D$68/($C$15*$D$15)*(1-6*$G$68/$C$15),0))/100</f>
        <v>0.30500713749060865</v>
      </c>
      <c r="H96" s="10">
        <f>(3*$F$96+$G$96)/4</f>
        <v>0.55427535687453044</v>
      </c>
      <c r="I96" s="3">
        <f t="shared" ref="I96:I101" si="1">$B$8</f>
        <v>2</v>
      </c>
      <c r="J96" s="13">
        <f>$H$96/$I$96</f>
        <v>0.27713767843726522</v>
      </c>
      <c r="K96" s="9" t="str">
        <f>IF($H$96&lt;=$I$96+0.00001,"OK","NON OK")</f>
        <v>OK</v>
      </c>
    </row>
    <row r="97" spans="2:11" ht="15.75" x14ac:dyDescent="0.25">
      <c r="B97" s="7" t="s">
        <v>73</v>
      </c>
      <c r="C97" s="10">
        <f>$D$69</f>
        <v>366.33437500000002</v>
      </c>
      <c r="D97" s="5">
        <f>$G$69</f>
        <v>0.1747037798459399</v>
      </c>
      <c r="E97" s="12" t="str">
        <f>IF($D$69&lt;=0,"N ≤ 0 : soulèvement",IF($G$69&lt;=$C$15/6+0.000001,"e &lt; A/6 =&gt; Diagramme Trapézoïdal",IF($G$69&lt;$C$15/2,"e &gt; A/6 =&gt; Diagramme triangulaire","e ≥ A/2 : instable")))</f>
        <v>e &lt; A/6 =&gt; Diagramme Trapézoïdal</v>
      </c>
      <c r="F97" s="3">
        <f>IF($D$69&lt;=0,0,IF($G$69&lt;=$C$15/6+0.000001,$D$69/($C$15*$D$15)*(1+6*$G$69/$C$15),IF($G$69&lt;$C$15/2,2*$D$69/(3*$D$15*($C$15/2-$G$69)),1000000000)))/100</f>
        <v>0.66905221637866275</v>
      </c>
      <c r="G97" s="3">
        <f>IF($D$69&lt;=0,0,IF($G$69&lt;=$C$15/6+0.000001,$D$69/($C$15*$D$15)*(1-6*$G$69/$C$15),0))/100</f>
        <v>0.29976596543951922</v>
      </c>
      <c r="H97" s="10">
        <f>(3*$F$97+$G$97)/4</f>
        <v>0.57673065364387688</v>
      </c>
      <c r="I97" s="3">
        <f t="shared" si="1"/>
        <v>2</v>
      </c>
      <c r="J97" s="13">
        <f>$H$97/$I$97</f>
        <v>0.28836532682193844</v>
      </c>
      <c r="K97" s="9" t="str">
        <f>IF($H$97&lt;=$I$97+0.00001,"OK","NON OK")</f>
        <v>OK</v>
      </c>
    </row>
    <row r="98" spans="2:11" ht="15.75" x14ac:dyDescent="0.25">
      <c r="B98" s="7" t="s">
        <v>74</v>
      </c>
      <c r="C98" s="10">
        <f>$D$70</f>
        <v>231.33437499999999</v>
      </c>
      <c r="D98" s="5">
        <f>$G$70</f>
        <v>0.2991340997203723</v>
      </c>
      <c r="E98" s="12" t="str">
        <f>IF($D$70&lt;=0,"N ≤ 0 : soulèvement",IF($G$70&lt;=$C$15/6+0.000001,"e &lt; A/6 =&gt; Diagramme Trapézoïdal",IF($G$70&lt;$C$15/2,"e &gt; A/6 =&gt; Diagramme triangulaire","e ≥ A/2 : instable")))</f>
        <v>e &lt; A/6 =&gt; Diagramme Trapézoïdal</v>
      </c>
      <c r="F98" s="3">
        <f>IF($D$70&lt;=0,0,IF($G$70&lt;=$C$15/6+0.000001,$D$70/($C$15*$D$15)*(1+6*$G$70/$C$15),IF($G$70&lt;$C$15/2,2*$D$70/(3*$D$15*($C$15/2-$G$70)),1000000000)))/100</f>
        <v>0.50554207362885051</v>
      </c>
      <c r="G98" s="3">
        <f>IF($D$70&lt;=0,0,IF($G$70&lt;=$C$15/6+0.000001,$D$70/($C$15*$D$15)*(1-6*$G$70/$C$15),0))/100</f>
        <v>0.10625131480090155</v>
      </c>
      <c r="H98" s="10">
        <f>(3*$F$98+$G$98)/4</f>
        <v>0.40571938392186324</v>
      </c>
      <c r="I98" s="3">
        <f t="shared" si="1"/>
        <v>2</v>
      </c>
      <c r="J98" s="13">
        <f>$H$98/$I$98</f>
        <v>0.20285969196093162</v>
      </c>
      <c r="K98" s="9" t="str">
        <f>IF($H$98&lt;=$I$98+0.00001,"OK","NON OK")</f>
        <v>OK</v>
      </c>
    </row>
    <row r="99" spans="2:11" ht="15.75" x14ac:dyDescent="0.25">
      <c r="B99" s="7" t="s">
        <v>75</v>
      </c>
      <c r="C99" s="10">
        <f>$D$71</f>
        <v>286.33437500000002</v>
      </c>
      <c r="D99" s="5">
        <f>$G$71</f>
        <v>0.13410894168749385</v>
      </c>
      <c r="E99" s="12" t="str">
        <f>IF($D$71&lt;=0,"N ≤ 0 : soulèvement",IF($G$71&lt;=$C$15/6+0.000001,"e &lt; A/6 =&gt; Diagramme Trapézoïdal",IF($G$71&lt;$C$15/2,"e &gt; A/6 =&gt; Diagramme triangulaire","e ≥ A/2 : instable")))</f>
        <v>e &lt; A/6 =&gt; Diagramme Trapézoïdal</v>
      </c>
      <c r="F99" s="3">
        <f>IF($D$71&lt;=0,0,IF($G$71&lt;=$C$15/6+0.000001,$D$71/($C$15*$D$15)*(1+6*$G$71/$C$15),IF($G$71&lt;$C$15/2,2*$D$71/(3*$D$15*($C$15/2-$G$71)),1000000000)))/100</f>
        <v>0.48940984222389189</v>
      </c>
      <c r="G99" s="3">
        <f>IF($D$71&lt;=0,0,IF($G$71&lt;=$C$15/6+0.000001,$D$71/($C$15*$D$15)*(1-6*$G$71/$C$15),0))/100</f>
        <v>0.26783809166040573</v>
      </c>
      <c r="H99" s="10">
        <f>(3*$F$99+$G$99)/4</f>
        <v>0.43401690458302034</v>
      </c>
      <c r="I99" s="3">
        <f t="shared" si="1"/>
        <v>2</v>
      </c>
      <c r="J99" s="13">
        <f>$H$99/$I$99</f>
        <v>0.21700845229151017</v>
      </c>
      <c r="K99" s="9" t="str">
        <f>IF($H$99&lt;=$I$99+0.00001,"OK","NON OK")</f>
        <v>OK</v>
      </c>
    </row>
    <row r="100" spans="2:11" ht="15.75" x14ac:dyDescent="0.25">
      <c r="B100" s="7" t="s">
        <v>76</v>
      </c>
      <c r="C100" s="10">
        <f>$D$72</f>
        <v>267.83437500000002</v>
      </c>
      <c r="D100" s="5">
        <f>$G$72</f>
        <v>0.15367706255031674</v>
      </c>
      <c r="E100" s="12" t="str">
        <f>IF($D$72&lt;=0,"N ≤ 0 : soulèvement",IF($G$72&lt;=$C$15/6+0.000001,"e &lt; A/6 =&gt; Diagramme Trapézoïdal",IF($G$72&lt;$C$15/2,"e &gt; A/6 =&gt; Diagramme triangulaire","e ≥ A/2 : instable")))</f>
        <v>e &lt; A/6 =&gt; Diagramme Trapézoïdal</v>
      </c>
      <c r="F100" s="3">
        <f>IF($D$72&lt;=0,0,IF($G$72&lt;=$C$15/6+0.000001,$D$72/($C$15*$D$15)*(1+6*$G$72/$C$15),IF($G$72&lt;$C$15/2,2*$D$72/(3*$D$15*($C$15/2-$G$72)),1000000000)))/100</f>
        <v>0.47290976709241178</v>
      </c>
      <c r="G100" s="3">
        <f>IF($D$72&lt;=0,0,IF($G$72&lt;=$C$15/6+0.000001,$D$72/($C$15*$D$15)*(1-6*$G$72/$C$15),0))/100</f>
        <v>0.23541254695717517</v>
      </c>
      <c r="H100" s="10">
        <f>(3*$F$100+$G$100)/4</f>
        <v>0.41353546205860259</v>
      </c>
      <c r="I100" s="3">
        <f t="shared" si="1"/>
        <v>2</v>
      </c>
      <c r="J100" s="13">
        <f>$H$100/$I$100</f>
        <v>0.20676773102930129</v>
      </c>
      <c r="K100" s="9" t="str">
        <f>IF($H$100&lt;=$I$100+0.00001,"OK","NON OK")</f>
        <v>OK</v>
      </c>
    </row>
    <row r="101" spans="2:11" ht="15.75" x14ac:dyDescent="0.25">
      <c r="B101" s="7" t="s">
        <v>77</v>
      </c>
      <c r="C101" s="10">
        <f>$D$73</f>
        <v>317.33437500000002</v>
      </c>
      <c r="D101" s="5">
        <f>$G$73</f>
        <v>0.17546160891015983</v>
      </c>
      <c r="E101" s="12" t="str">
        <f>IF($D$73&lt;=0,"N ≤ 0 : soulèvement",IF($G$73&lt;=$C$15/6+0.000001,"e &lt; A/6 =&gt; Diagramme Trapézoïdal",IF($G$73&lt;$C$15/2,"e &gt; A/6 =&gt; Diagramme triangulaire","e ≥ A/2 : instable")))</f>
        <v>e &lt; A/6 =&gt; Diagramme Trapézoïdal</v>
      </c>
      <c r="F101" s="3">
        <f>IF($D$73&lt;=0,0,IF($G$73&lt;=$C$15/6+0.000001,$D$73/($C$15*$D$15)*(1+6*$G$73/$C$15),IF($G$73&lt;$C$15/2,2*$D$73/(3*$D$15*($C$15/2-$G$73)),1000000000)))/100</f>
        <v>0.58025522163786625</v>
      </c>
      <c r="G101" s="3">
        <f>IF($D$73&lt;=0,0,IF($G$73&lt;=$C$15/6+0.000001,$D$73/($C$15*$D$15)*(1-6*$G$73/$C$15),0))/100</f>
        <v>0.25897618332081146</v>
      </c>
      <c r="H101" s="10">
        <f>(3*$F$101+$G$101)/4</f>
        <v>0.49993546205860256</v>
      </c>
      <c r="I101" s="3">
        <f t="shared" si="1"/>
        <v>2</v>
      </c>
      <c r="J101" s="13">
        <f>$H$101/$I$101</f>
        <v>0.24996773102930128</v>
      </c>
      <c r="K101" s="9" t="str">
        <f>IF($H$101&lt;=$I$101+0.00001,"OK","NON OK")</f>
        <v>OK</v>
      </c>
    </row>
    <row r="102" spans="2:11" ht="15.75" x14ac:dyDescent="0.25">
      <c r="B102" s="7" t="s">
        <v>78</v>
      </c>
      <c r="C102" s="10">
        <f>$D$74</f>
        <v>379.97437500000001</v>
      </c>
      <c r="D102" s="5">
        <f>$G$74</f>
        <v>0.99164581822129438</v>
      </c>
      <c r="E102" s="12" t="str">
        <f>IF($D$74&lt;=0,"N ≤ 0 : soulèvement",IF($G$74&lt;=$C$15/6+0.000001,"e &lt; A/6 =&gt; Diagramme Trapézoïdal",IF($G$74&lt;$C$15/2,"e &gt; A/6 =&gt; Diagramme triangulaire","e ≥ A/2 : instable")))</f>
        <v>e &gt; A/6 =&gt; Diagramme triangulaire</v>
      </c>
      <c r="F102" s="3">
        <f>IF($D$74&lt;=0,0,IF($G$74&lt;=$C$15/6+0.000001,$D$74/($C$15*$D$15)*(1+6*$G$74/$C$15),IF($G$74&lt;$C$15/2,2*$D$74/(3*$D$15*($C$15/2-$G$74)),1000000000)))/100</f>
        <v>2.4028693145487621</v>
      </c>
      <c r="G102" s="3">
        <f>IF($D$74&lt;=0,0,IF($G$74&lt;=$C$15/6+0.000001,$D$74/($C$15*$D$15)*(1-6*$G$74/$C$15),0))/100</f>
        <v>0</v>
      </c>
      <c r="H102" s="10">
        <f>(3*$F$102+$G$102)/4</f>
        <v>1.8021519859115716</v>
      </c>
      <c r="I102" s="3">
        <f t="shared" ref="I102:I109" si="2">$D$8</f>
        <v>3</v>
      </c>
      <c r="J102" s="13">
        <f>$H$102/$I$102</f>
        <v>0.60071732863719052</v>
      </c>
      <c r="K102" s="9" t="str">
        <f>IF($H$102&lt;=$I$102+0.00001,"OK","NON OK")</f>
        <v>OK</v>
      </c>
    </row>
    <row r="103" spans="2:11" ht="15.75" x14ac:dyDescent="0.25">
      <c r="B103" s="7" t="s">
        <v>80</v>
      </c>
      <c r="C103" s="10">
        <f>$D$75</f>
        <v>362.69437499999998</v>
      </c>
      <c r="D103" s="5">
        <f>$G$75</f>
        <v>1.0388912152276968</v>
      </c>
      <c r="E103" s="12" t="str">
        <f>IF($D$75&lt;=0,"N ≤ 0 : soulèvement",IF($G$75&lt;=$C$15/6+0.000001,"e &lt; A/6 =&gt; Diagramme Trapézoïdal",IF($G$75&lt;$C$15/2,"e &gt; A/6 =&gt; Diagramme triangulaire","e ≥ A/2 : instable")))</f>
        <v>e &gt; A/6 =&gt; Diagramme triangulaire</v>
      </c>
      <c r="F103" s="3">
        <f>IF($D$75&lt;=0,0,IF($G$75&lt;=$C$15/6+0.000001,$D$75/($C$15*$D$15)*(1+6*$G$75/$C$15),IF($G$75&lt;$C$15/2,2*$D$75/(3*$D$15*($C$15/2-$G$75)),1000000000)))/100</f>
        <v>2.6159955667470718</v>
      </c>
      <c r="G103" s="3">
        <f>IF($D$75&lt;=0,0,IF($G$75&lt;=$C$15/6+0.000001,$D$75/($C$15*$D$15)*(1-6*$G$75/$C$15),0))/100</f>
        <v>0</v>
      </c>
      <c r="H103" s="10">
        <f>(3*$F$103+$G$103)/4</f>
        <v>1.9619966750603037</v>
      </c>
      <c r="I103" s="3">
        <f t="shared" si="2"/>
        <v>3</v>
      </c>
      <c r="J103" s="13">
        <f>$H$103/$I$103</f>
        <v>0.65399889168676795</v>
      </c>
      <c r="K103" s="9" t="str">
        <f>IF($H$103&lt;=$I$103+0.00001,"OK","NON OK")</f>
        <v>OK</v>
      </c>
    </row>
    <row r="104" spans="2:11" ht="15.75" x14ac:dyDescent="0.25">
      <c r="B104" s="7" t="s">
        <v>81</v>
      </c>
      <c r="C104" s="10">
        <f>$D$76</f>
        <v>374.93437499999999</v>
      </c>
      <c r="D104" s="5">
        <f>$G$76</f>
        <v>0.3839391893581377</v>
      </c>
      <c r="E104" s="12" t="str">
        <f>IF($D$76&lt;=0,"N ≤ 0 : soulèvement",IF($G$76&lt;=$C$15/6+0.000001,"e &lt; A/6 =&gt; Diagramme Trapézoïdal",IF($G$76&lt;$C$15/2,"e &gt; A/6 =&gt; Diagramme triangulaire","e ≥ A/2 : instable")))</f>
        <v>e &lt; A/6 =&gt; Diagramme Trapézoïdal</v>
      </c>
      <c r="F104" s="3">
        <f>IF($D$76&lt;=0,0,IF($G$76&lt;=$C$15/6+0.000001,$D$76/($C$15*$D$15)*(1+6*$G$76/$C$15),IF($G$76&lt;$C$15/2,2*$D$76/(3*$D$15*($C$15/2-$G$76)),1000000000)))/100</f>
        <v>0.91108954169797141</v>
      </c>
      <c r="G104" s="3">
        <f>IF($D$76&lt;=0,0,IF($G$76&lt;=$C$15/6+0.000001,$D$76/($C$15*$D$15)*(1-6*$G$76/$C$15),0))/100</f>
        <v>8.0472441773102865E-2</v>
      </c>
      <c r="H104" s="10">
        <f>(3*$F$104+$G$104)/4</f>
        <v>0.70343526671675427</v>
      </c>
      <c r="I104" s="3">
        <f t="shared" si="2"/>
        <v>3</v>
      </c>
      <c r="J104" s="13">
        <f>$H$104/$I$104</f>
        <v>0.2344784222389181</v>
      </c>
      <c r="K104" s="9" t="str">
        <f>IF($H$104&lt;=$I$104+0.00001,"OK","NON OK")</f>
        <v>OK</v>
      </c>
    </row>
    <row r="105" spans="2:11" ht="15.75" x14ac:dyDescent="0.25">
      <c r="B105" s="7" t="s">
        <v>82</v>
      </c>
      <c r="C105" s="10">
        <f>$D$77</f>
        <v>317.33437500000002</v>
      </c>
      <c r="D105" s="5">
        <f>$G$77</f>
        <v>0.4536287630358356</v>
      </c>
      <c r="E105" s="12" t="str">
        <f>IF($D$77&lt;=0,"N ≤ 0 : soulèvement",IF($G$77&lt;=$C$15/6+0.000001,"e &lt; A/6 =&gt; Diagramme Trapézoïdal",IF($G$77&lt;$C$15/2,"e &gt; A/6 =&gt; Diagramme triangulaire","e ≥ A/2 : instable")))</f>
        <v>e &lt; A/6 =&gt; Diagramme Trapézoïdal</v>
      </c>
      <c r="F105" s="3">
        <f>IF($D$77&lt;=0,0,IF($G$77&lt;=$C$15/6+0.000001,$D$77/($C$15*$D$15)*(1+6*$G$77/$C$15),IF($G$77&lt;$C$15/2,2*$D$77/(3*$D$15*($C$15/2-$G$77)),1000000000)))/100</f>
        <v>0.83492425244177315</v>
      </c>
      <c r="G105" s="3">
        <f>IF($D$77&lt;=0,0,IF($G$77&lt;=$C$15/6+0.000001,$D$77/($C$15*$D$15)*(1-6*$G$77/$C$15),0))/100</f>
        <v>4.3071525169045676E-3</v>
      </c>
      <c r="H105" s="10">
        <f>(3*$F$105+$G$105)/4</f>
        <v>0.62726997746055602</v>
      </c>
      <c r="I105" s="3">
        <f t="shared" si="2"/>
        <v>3</v>
      </c>
      <c r="J105" s="13">
        <f>$H$105/$I$105</f>
        <v>0.20908999248685201</v>
      </c>
      <c r="K105" s="9" t="str">
        <f>IF($H$105&lt;=$I$105+0.00001,"OK","NON OK")</f>
        <v>OK</v>
      </c>
    </row>
    <row r="106" spans="2:11" ht="15.75" x14ac:dyDescent="0.25">
      <c r="B106" s="7" t="s">
        <v>83</v>
      </c>
      <c r="C106" s="10">
        <f>$D$78</f>
        <v>290.69437499999998</v>
      </c>
      <c r="D106" s="5">
        <f>$G$78</f>
        <v>0.99238246354096127</v>
      </c>
      <c r="E106" s="12" t="str">
        <f>IF($D$78&lt;=0,"N ≤ 0 : soulèvement",IF($G$78&lt;=$C$15/6+0.000001,"e &lt; A/6 =&gt; Diagramme Trapézoïdal",IF($G$78&lt;$C$15/2,"e &gt; A/6 =&gt; Diagramme triangulaire","e ≥ A/2 : instable")))</f>
        <v>e &gt; A/6 =&gt; Diagramme triangulaire</v>
      </c>
      <c r="F106" s="3">
        <f>IF($D$78&lt;=0,0,IF($G$78&lt;=$C$15/6+0.000001,$D$78/($C$15*$D$15)*(1+6*$G$78/$C$15),IF($G$78&lt;$C$15/2,2*$D$78/(3*$D$15*($C$15/2-$G$78)),1000000000)))/100</f>
        <v>1.8418226275916649</v>
      </c>
      <c r="G106" s="3">
        <f>IF($D$78&lt;=0,0,IF($G$78&lt;=$C$15/6+0.000001,$D$78/($C$15*$D$15)*(1-6*$G$78/$C$15),0))/100</f>
        <v>0</v>
      </c>
      <c r="H106" s="10">
        <f>(3*$F$106+$G$106)/4</f>
        <v>1.3813669706937488</v>
      </c>
      <c r="I106" s="3">
        <f t="shared" si="2"/>
        <v>3</v>
      </c>
      <c r="J106" s="13">
        <f>$H$106/$I$106</f>
        <v>0.46045565689791629</v>
      </c>
      <c r="K106" s="9" t="str">
        <f>IF($H$106&lt;=$I$106+0.00001,"OK","NON OK")</f>
        <v>OK</v>
      </c>
    </row>
    <row r="107" spans="2:11" ht="15.75" x14ac:dyDescent="0.25">
      <c r="B107" s="7" t="s">
        <v>84</v>
      </c>
      <c r="C107" s="10">
        <f>$D$79</f>
        <v>307.97437500000001</v>
      </c>
      <c r="D107" s="5">
        <f>$G$79</f>
        <v>0.93670130834748833</v>
      </c>
      <c r="E107" s="12" t="str">
        <f>IF($D$79&lt;=0,"N ≤ 0 : soulèvement",IF($G$79&lt;=$C$15/6+0.000001,"e &lt; A/6 =&gt; Diagramme Trapézoïdal",IF($G$79&lt;$C$15/2,"e &gt; A/6 =&gt; Diagramme triangulaire","e ≥ A/2 : instable")))</f>
        <v>e &gt; A/6 =&gt; Diagramme triangulaire</v>
      </c>
      <c r="F107" s="3">
        <f>IF($D$79&lt;=0,0,IF($G$79&lt;=$C$15/6+0.000001,$D$79/($C$15*$D$15)*(1+6*$G$79/$C$15),IF($G$79&lt;$C$15/2,2*$D$79/(3*$D$15*($C$15/2-$G$79)),1000000000)))/100</f>
        <v>1.703414953486702</v>
      </c>
      <c r="G107" s="3">
        <f>IF($D$79&lt;=0,0,IF($G$79&lt;=$C$15/6+0.000001,$D$79/($C$15*$D$15)*(1-6*$G$79/$C$15),0))/100</f>
        <v>0</v>
      </c>
      <c r="H107" s="10">
        <f>(3*$F$107+$G$107)/4</f>
        <v>1.2775612151150266</v>
      </c>
      <c r="I107" s="3">
        <f t="shared" si="2"/>
        <v>3</v>
      </c>
      <c r="J107" s="13">
        <f>$H$107/$I$107</f>
        <v>0.42585373837167556</v>
      </c>
      <c r="K107" s="9" t="str">
        <f>IF($H$107&lt;=$I$107+0.00001,"OK","NON OK")</f>
        <v>OK</v>
      </c>
    </row>
    <row r="108" spans="2:11" ht="15.75" x14ac:dyDescent="0.25">
      <c r="B108" s="7" t="s">
        <v>85</v>
      </c>
      <c r="C108" s="10">
        <f>$D$80</f>
        <v>295.734375</v>
      </c>
      <c r="D108" s="5">
        <f>$G$80</f>
        <v>0.1881147566967824</v>
      </c>
      <c r="E108" s="12" t="str">
        <f>IF($D$80&lt;=0,"N ≤ 0 : soulèvement",IF($G$80&lt;=$C$15/6+0.000001,"e &lt; A/6 =&gt; Diagramme Trapézoïdal",IF($G$80&lt;$C$15/2,"e &gt; A/6 =&gt; Diagramme triangulaire","e ≥ A/2 : instable")))</f>
        <v>e &lt; A/6 =&gt; Diagramme Trapézoïdal</v>
      </c>
      <c r="F108" s="3">
        <f>IF($D$80&lt;=0,0,IF($G$80&lt;=$C$15/6+0.000001,$D$80/($C$15*$D$15)*(1+6*$G$80/$C$15),IF($G$80&lt;$C$15/2,2*$D$80/(3*$D$15*($C$15/2-$G$80)),1000000000)))/100</f>
        <v>0.55155475582268965</v>
      </c>
      <c r="G108" s="3">
        <f>IF($D$80&lt;=0,0,IF($G$80&lt;=$C$15/6+0.000001,$D$80/($C$15*$D$15)*(1-6*$G$80/$C$15),0))/100</f>
        <v>0.23055268219383923</v>
      </c>
      <c r="H108" s="10">
        <f>(3*$F$108+$G$108)/4</f>
        <v>0.47130423741547706</v>
      </c>
      <c r="I108" s="3">
        <f t="shared" si="2"/>
        <v>3</v>
      </c>
      <c r="J108" s="13">
        <f>$H$108/$I$108</f>
        <v>0.15710141247182569</v>
      </c>
      <c r="K108" s="9" t="str">
        <f>IF($H$108&lt;=$I$108+0.00001,"OK","NON OK")</f>
        <v>OK</v>
      </c>
    </row>
    <row r="109" spans="2:11" ht="15.75" x14ac:dyDescent="0.25">
      <c r="B109" s="7" t="s">
        <v>86</v>
      </c>
      <c r="C109" s="10">
        <f>$D$81</f>
        <v>353.33437500000002</v>
      </c>
      <c r="D109" s="5">
        <f>$G$81</f>
        <v>0.15744859242749876</v>
      </c>
      <c r="E109" s="12" t="str">
        <f>IF($D$81&lt;=0,"N ≤ 0 : soulèvement",IF($G$81&lt;=$C$15/6+0.000001,"e &lt; A/6 =&gt; Diagramme Trapézoïdal",IF($G$81&lt;$C$15/2,"e &gt; A/6 =&gt; Diagramme triangulaire","e ≥ A/2 : instable")))</f>
        <v>e &lt; A/6 =&gt; Diagramme Trapézoïdal</v>
      </c>
      <c r="F109" s="3">
        <f>IF($D$81&lt;=0,0,IF($G$81&lt;=$C$15/6+0.000001,$D$81/($C$15*$D$15)*(1+6*$G$81/$C$15),IF($G$81&lt;$C$15/2,2*$D$81/(3*$D$15*($C$15/2-$G$81)),1000000000)))/100</f>
        <v>0.62772004507888812</v>
      </c>
      <c r="G109" s="3">
        <f>IF($D$81&lt;=0,0,IF($G$81&lt;=$C$15/6+0.000001,$D$81/($C$15*$D$15)*(1-6*$G$81/$C$15),0))/100</f>
        <v>0.3067179714500376</v>
      </c>
      <c r="H109" s="10">
        <f>(3*$F$109+$G$109)/4</f>
        <v>0.54746952667167548</v>
      </c>
      <c r="I109" s="3">
        <f t="shared" si="2"/>
        <v>3</v>
      </c>
      <c r="J109" s="13">
        <f>$H$109/$I$109</f>
        <v>0.18248984222389183</v>
      </c>
      <c r="K109" s="9" t="str">
        <f>IF($H$109&lt;=$I$109+0.00001,"OK","NON OK")</f>
        <v>OK</v>
      </c>
    </row>
    <row r="111" spans="2:11" ht="20.100000000000001" customHeight="1" x14ac:dyDescent="0.25">
      <c r="B111" s="28" t="s">
        <v>117</v>
      </c>
      <c r="C111" s="29"/>
      <c r="D111" s="29"/>
      <c r="E111" s="29"/>
      <c r="F111" s="29"/>
      <c r="G111" s="29"/>
      <c r="H111" s="29"/>
      <c r="I111" s="29"/>
      <c r="J111" s="29"/>
      <c r="K111" s="29"/>
    </row>
    <row r="112" spans="2:11" ht="15" customHeight="1" x14ac:dyDescent="0.25">
      <c r="B112" s="20" t="s">
        <v>118</v>
      </c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2:11" ht="20.100000000000001" customHeight="1" x14ac:dyDescent="0.25">
      <c r="B113" s="2" t="s">
        <v>51</v>
      </c>
      <c r="C113" s="2" t="s">
        <v>109</v>
      </c>
      <c r="D113" s="2" t="s">
        <v>119</v>
      </c>
      <c r="E113" s="2" t="s">
        <v>111</v>
      </c>
      <c r="F113" s="2" t="s">
        <v>112</v>
      </c>
      <c r="G113" s="2" t="s">
        <v>113</v>
      </c>
      <c r="H113" s="2" t="s">
        <v>114</v>
      </c>
      <c r="I113" s="2" t="s">
        <v>115</v>
      </c>
      <c r="J113" s="2" t="s">
        <v>116</v>
      </c>
      <c r="K113" s="2" t="s">
        <v>40</v>
      </c>
    </row>
    <row r="114" spans="2:11" ht="15.75" x14ac:dyDescent="0.25">
      <c r="B114" s="7" t="s">
        <v>59</v>
      </c>
      <c r="C114" s="10">
        <f>$D$58</f>
        <v>485.55140625000001</v>
      </c>
      <c r="D114" s="5">
        <f>$H$58</f>
        <v>0</v>
      </c>
      <c r="E114" s="12" t="str">
        <f>IF($D$58&lt;=0,"N ≤ 0 : soulèvement",IF($H$58&lt;=$D$15/6+0.000001,"e &lt; B/6 =&gt; Diagramme Trapézoïdal",IF($H$58&lt;$D$15/2,"e &gt; B/6 =&gt; Diagramme triangulaire","e ≥ B/2 : instable")))</f>
        <v>e &lt; B/6 =&gt; Diagramme Trapézoïdal</v>
      </c>
      <c r="F114" s="3">
        <f>IF($D$58&lt;=0,0,IF($H$58&lt;=$D$15/6+0.000001,$D$58/($D$15*$C$15)*(1+6*$H$58/$D$15),IF($H$58&lt;$D$15/2,2*$D$58/(3*$C$15*($D$15/2-$H$58)),1000000000)))/100</f>
        <v>0.64205144628099176</v>
      </c>
      <c r="G114" s="3">
        <f>IF($D$58&lt;=0,0,IF($H$58&lt;=$D$15/6+0.000001,$D$58/($D$15*$C$15)*(1-6*$H$58/$D$15),0))/100</f>
        <v>0.64205144628099176</v>
      </c>
      <c r="H114" s="10">
        <f>(3*$F$114+$G$114)/4</f>
        <v>0.64205144628099176</v>
      </c>
      <c r="I114" s="3">
        <f t="shared" ref="I114:I123" si="3">$C$8</f>
        <v>3</v>
      </c>
      <c r="J114" s="13">
        <f>$H$114/$I$114</f>
        <v>0.21401714876033059</v>
      </c>
      <c r="K114" s="9" t="str">
        <f>IF($H$114&lt;=$I$114+0.00001,"OK","NON OK")</f>
        <v>OK</v>
      </c>
    </row>
    <row r="115" spans="2:11" ht="15.75" x14ac:dyDescent="0.25">
      <c r="B115" s="7" t="s">
        <v>62</v>
      </c>
      <c r="C115" s="10">
        <f>$D$59</f>
        <v>500.55140625000001</v>
      </c>
      <c r="D115" s="5">
        <f>$H$59</f>
        <v>0</v>
      </c>
      <c r="E115" s="12" t="str">
        <f>IF($D$59&lt;=0,"N ≤ 0 : soulèvement",IF($H$59&lt;=$D$15/6+0.000001,"e &lt; B/6 =&gt; Diagramme Trapézoïdal",IF($H$59&lt;$D$15/2,"e &gt; B/6 =&gt; Diagramme triangulaire","e ≥ B/2 : instable")))</f>
        <v>e &lt; B/6 =&gt; Diagramme Trapézoïdal</v>
      </c>
      <c r="F115" s="3">
        <f>IF($D$59&lt;=0,0,IF($H$59&lt;=$D$15/6+0.000001,$D$59/($D$15*$C$15)*(1+6*$H$59/$D$15),IF($H$59&lt;$D$15/2,2*$D$59/(3*$C$15*($D$15/2-$H$59)),1000000000)))/100</f>
        <v>0.66188615702479336</v>
      </c>
      <c r="G115" s="3">
        <f>IF($D$59&lt;=0,0,IF($H$59&lt;=$D$15/6+0.000001,$D$59/($D$15*$C$15)*(1-6*$H$59/$D$15),0))/100</f>
        <v>0.66188615702479336</v>
      </c>
      <c r="H115" s="10">
        <f>(3*$F$115+$G$115)/4</f>
        <v>0.66188615702479336</v>
      </c>
      <c r="I115" s="3">
        <f t="shared" si="3"/>
        <v>3</v>
      </c>
      <c r="J115" s="13">
        <f>$H$115/$I$115</f>
        <v>0.22062871900826445</v>
      </c>
      <c r="K115" s="9" t="str">
        <f>IF($H$115&lt;=$I$115+0.00001,"OK","NON OK")</f>
        <v>OK</v>
      </c>
    </row>
    <row r="116" spans="2:11" ht="15.75" x14ac:dyDescent="0.25">
      <c r="B116" s="7" t="s">
        <v>63</v>
      </c>
      <c r="C116" s="10">
        <f>$D$60</f>
        <v>298.05140625000001</v>
      </c>
      <c r="D116" s="5">
        <f>$H$60</f>
        <v>0</v>
      </c>
      <c r="E116" s="12" t="str">
        <f>IF($D$60&lt;=0,"N ≤ 0 : soulèvement",IF($H$60&lt;=$D$15/6+0.000001,"e &lt; B/6 =&gt; Diagramme Trapézoïdal",IF($H$60&lt;$D$15/2,"e &gt; B/6 =&gt; Diagramme triangulaire","e ≥ B/2 : instable")))</f>
        <v>e &lt; B/6 =&gt; Diagramme Trapézoïdal</v>
      </c>
      <c r="F116" s="3">
        <f>IF($D$60&lt;=0,0,IF($H$60&lt;=$D$15/6+0.000001,$D$60/($D$15*$C$15)*(1+6*$H$60/$D$15),IF($H$60&lt;$D$15/2,2*$D$60/(3*$C$15*($D$15/2-$H$60)),1000000000)))/100</f>
        <v>0.39411756198347109</v>
      </c>
      <c r="G116" s="3">
        <f>IF($D$60&lt;=0,0,IF($H$60&lt;=$D$15/6+0.000001,$D$60/($D$15*$C$15)*(1-6*$H$60/$D$15),0))/100</f>
        <v>0.39411756198347109</v>
      </c>
      <c r="H116" s="10">
        <f>(3*$F$116+$G$116)/4</f>
        <v>0.39411756198347109</v>
      </c>
      <c r="I116" s="3">
        <f t="shared" si="3"/>
        <v>3</v>
      </c>
      <c r="J116" s="13">
        <f>$H$116/$I$116</f>
        <v>0.13137252066115704</v>
      </c>
      <c r="K116" s="9" t="str">
        <f>IF($H$116&lt;=$I$116+0.00001,"OK","NON OK")</f>
        <v>OK</v>
      </c>
    </row>
    <row r="117" spans="2:11" ht="15.75" x14ac:dyDescent="0.25">
      <c r="B117" s="7" t="s">
        <v>64</v>
      </c>
      <c r="C117" s="10">
        <f>$D$61</f>
        <v>380.55140625000001</v>
      </c>
      <c r="D117" s="5">
        <f>$H$61</f>
        <v>0.1990532652249265</v>
      </c>
      <c r="E117" s="12" t="str">
        <f>IF($D$61&lt;=0,"N ≤ 0 : soulèvement",IF($H$61&lt;=$D$15/6+0.000001,"e &lt; B/6 =&gt; Diagramme Trapézoïdal",IF($H$61&lt;$D$15/2,"e &gt; B/6 =&gt; Diagramme triangulaire","e ≥ B/2 : instable")))</f>
        <v>e &lt; B/6 =&gt; Diagramme Trapézoïdal</v>
      </c>
      <c r="F117" s="3">
        <f>IF($D$61&lt;=0,0,IF($H$61&lt;=$D$15/6+0.000001,$D$61/($D$15*$C$15)*(1+6*$H$61/$D$15),IF($H$61&lt;$D$15/2,2*$D$61/(3*$C$15*($D$15/2-$H$61)),1000000000)))/100</f>
        <v>0.72175092036063115</v>
      </c>
      <c r="G117" s="3">
        <f>IF($D$61&lt;=0,0,IF($H$61&lt;=$D$15/6+0.000001,$D$61/($D$15*$C$15)*(1-6*$H$61/$D$15),0))/100</f>
        <v>0.28466602178812922</v>
      </c>
      <c r="H117" s="10">
        <f>(3*$F$117+$G$117)/4</f>
        <v>0.6124796957175056</v>
      </c>
      <c r="I117" s="3">
        <f t="shared" si="3"/>
        <v>3</v>
      </c>
      <c r="J117" s="13">
        <f>$H$117/$I$117</f>
        <v>0.20415989857250186</v>
      </c>
      <c r="K117" s="9" t="str">
        <f>IF($H$117&lt;=$I$117+0.00001,"OK","NON OK")</f>
        <v>OK</v>
      </c>
    </row>
    <row r="118" spans="2:11" ht="15.75" x14ac:dyDescent="0.25">
      <c r="B118" s="7" t="s">
        <v>65</v>
      </c>
      <c r="C118" s="10">
        <f>$D$62</f>
        <v>183.83437499999999</v>
      </c>
      <c r="D118" s="5">
        <f>$H$62</f>
        <v>0</v>
      </c>
      <c r="E118" s="12" t="str">
        <f>IF($D$62&lt;=0,"N ≤ 0 : soulèvement",IF($H$62&lt;=$D$15/6+0.000001,"e &lt; B/6 =&gt; Diagramme Trapézoïdal",IF($H$62&lt;$D$15/2,"e &gt; B/6 =&gt; Diagramme triangulaire","e ≥ B/2 : instable")))</f>
        <v>e &lt; B/6 =&gt; Diagramme Trapézoïdal</v>
      </c>
      <c r="F118" s="3">
        <f>IF($D$62&lt;=0,0,IF($H$62&lt;=$D$15/6+0.000001,$D$62/($D$15*$C$15)*(1+6*$H$62/$D$15),IF($H$62&lt;$D$15/2,2*$D$62/(3*$C$15*($D$15/2-$H$62)),1000000000)))/100</f>
        <v>0.24308677685950414</v>
      </c>
      <c r="G118" s="3">
        <f>IF($D$62&lt;=0,0,IF($H$62&lt;=$D$15/6+0.000001,$D$62/($D$15*$C$15)*(1-6*$H$62/$D$15),0))/100</f>
        <v>0.24308677685950414</v>
      </c>
      <c r="H118" s="10">
        <f>(3*$F$118+$G$118)/4</f>
        <v>0.24308677685950414</v>
      </c>
      <c r="I118" s="3">
        <f t="shared" si="3"/>
        <v>3</v>
      </c>
      <c r="J118" s="13">
        <f>$H$118/$I$118</f>
        <v>8.1028925619834713E-2</v>
      </c>
      <c r="K118" s="9" t="str">
        <f>IF($H$118&lt;=$I$118+0.00001,"OK","NON OK")</f>
        <v>OK</v>
      </c>
    </row>
    <row r="119" spans="2:11" ht="15.75" x14ac:dyDescent="0.25">
      <c r="B119" s="7" t="s">
        <v>66</v>
      </c>
      <c r="C119" s="10">
        <f>$D$63</f>
        <v>266.33437500000002</v>
      </c>
      <c r="D119" s="5">
        <f>$H$63</f>
        <v>0.28441691013411241</v>
      </c>
      <c r="E119" s="12" t="str">
        <f>IF($D$63&lt;=0,"N ≤ 0 : soulèvement",IF($H$63&lt;=$D$15/6+0.000001,"e &lt; B/6 =&gt; Diagramme Trapézoïdal",IF($H$63&lt;$D$15/2,"e &gt; B/6 =&gt; Diagramme triangulaire","e ≥ B/2 : instable")))</f>
        <v>e &lt; B/6 =&gt; Diagramme Trapézoïdal</v>
      </c>
      <c r="F119" s="3">
        <f>IF($D$63&lt;=0,0,IF($H$63&lt;=$D$15/6+0.000001,$D$63/($D$15*$C$15)*(1+6*$H$63/$D$15),IF($H$63&lt;$D$15/2,2*$D$63/(3*$C$15*($D$15/2-$H$63)),1000000000)))/100</f>
        <v>0.57072013523666432</v>
      </c>
      <c r="G119" s="3">
        <f>IF($D$63&lt;=0,0,IF($H$63&lt;=$D$15/6+0.000001,$D$63/($D$15*$C$15)*(1-6*$H$63/$D$15),0))/100</f>
        <v>0.13363523666416233</v>
      </c>
      <c r="H119" s="10">
        <f>(3*$F$119+$G$119)/4</f>
        <v>0.46144891059353887</v>
      </c>
      <c r="I119" s="3">
        <f t="shared" si="3"/>
        <v>3</v>
      </c>
      <c r="J119" s="13">
        <f>$H$119/$I$119</f>
        <v>0.15381630353117962</v>
      </c>
      <c r="K119" s="9" t="str">
        <f>IF($H$119&lt;=$I$119+0.00001,"OK","NON OK")</f>
        <v>OK</v>
      </c>
    </row>
    <row r="120" spans="2:11" ht="15.75" x14ac:dyDescent="0.25">
      <c r="B120" s="7" t="s">
        <v>67</v>
      </c>
      <c r="C120" s="10">
        <f>$D$64</f>
        <v>352.80140625000001</v>
      </c>
      <c r="D120" s="5">
        <f>$H$64</f>
        <v>0</v>
      </c>
      <c r="E120" s="12" t="str">
        <f>IF($D$64&lt;=0,"N ≤ 0 : soulèvement",IF($H$64&lt;=$D$15/6+0.000001,"e &lt; B/6 =&gt; Diagramme Trapézoïdal",IF($H$64&lt;$D$15/2,"e &gt; B/6 =&gt; Diagramme triangulaire","e ≥ B/2 : instable")))</f>
        <v>e &lt; B/6 =&gt; Diagramme Trapézoïdal</v>
      </c>
      <c r="F120" s="3">
        <f>IF($D$64&lt;=0,0,IF($H$64&lt;=$D$15/6+0.000001,$D$64/($D$15*$C$15)*(1+6*$H$64/$D$15),IF($H$64&lt;$D$15/2,2*$D$64/(3*$C$15*($D$15/2-$H$64)),1000000000)))/100</f>
        <v>0.46651425619834713</v>
      </c>
      <c r="G120" s="3">
        <f>IF($D$64&lt;=0,0,IF($H$64&lt;=$D$15/6+0.000001,$D$64/($D$15*$C$15)*(1-6*$H$64/$D$15),0))/100</f>
        <v>0.46651425619834713</v>
      </c>
      <c r="H120" s="10">
        <f>(3*$F$120+$G$120)/4</f>
        <v>0.46651425619834713</v>
      </c>
      <c r="I120" s="3">
        <f t="shared" si="3"/>
        <v>3</v>
      </c>
      <c r="J120" s="13">
        <f>$H$120/$I$120</f>
        <v>0.15550475206611572</v>
      </c>
      <c r="K120" s="9" t="str">
        <f>IF($H$120&lt;=$I$120+0.00001,"OK","NON OK")</f>
        <v>OK</v>
      </c>
    </row>
    <row r="121" spans="2:11" ht="15.75" x14ac:dyDescent="0.25">
      <c r="B121" s="7" t="s">
        <v>68</v>
      </c>
      <c r="C121" s="10">
        <f>$D$65</f>
        <v>427.05140625000001</v>
      </c>
      <c r="D121" s="5">
        <f>$H$65</f>
        <v>0.15964120244598773</v>
      </c>
      <c r="E121" s="12" t="str">
        <f>IF($D$65&lt;=0,"N ≤ 0 : soulèvement",IF($H$65&lt;=$D$15/6+0.000001,"e &lt; B/6 =&gt; Diagramme Trapézoïdal",IF($H$65&lt;$D$15/2,"e &gt; B/6 =&gt; Diagramme triangulaire","e ≥ B/2 : instable")))</f>
        <v>e &lt; B/6 =&gt; Diagramme Trapézoïdal</v>
      </c>
      <c r="F121" s="3">
        <f>IF($D$65&lt;=0,0,IF($H$65&lt;=$D$15/6+0.000001,$D$65/($D$15*$C$15)*(1+6*$H$65/$D$15),IF($H$65&lt;$D$15/2,2*$D$65/(3*$C$15*($D$15/2-$H$65)),1000000000)))/100</f>
        <v>0.76138427873779124</v>
      </c>
      <c r="G121" s="3">
        <f>IF($D$65&lt;=0,0,IF($H$65&lt;=$D$15/6+0.000001,$D$65/($D$15*$C$15)*(1-6*$H$65/$D$15),0))/100</f>
        <v>0.36800787002253948</v>
      </c>
      <c r="H121" s="10">
        <f>(3*$F$121+$G$121)/4</f>
        <v>0.66304017655897829</v>
      </c>
      <c r="I121" s="3">
        <f t="shared" si="3"/>
        <v>3</v>
      </c>
      <c r="J121" s="13">
        <f>$H$121/$I$121</f>
        <v>0.2210133921863261</v>
      </c>
      <c r="K121" s="9" t="str">
        <f>IF($H$121&lt;=$I$121+0.00001,"OK","NON OK")</f>
        <v>OK</v>
      </c>
    </row>
    <row r="122" spans="2:11" ht="15.75" x14ac:dyDescent="0.25">
      <c r="B122" s="7" t="s">
        <v>69</v>
      </c>
      <c r="C122" s="10">
        <f>$D$66</f>
        <v>366.30140625000001</v>
      </c>
      <c r="D122" s="5">
        <f>$H$66</f>
        <v>0</v>
      </c>
      <c r="E122" s="12" t="str">
        <f>IF($D$66&lt;=0,"N ≤ 0 : soulèvement",IF($H$66&lt;=$D$15/6+0.000001,"e &lt; B/6 =&gt; Diagramme Trapézoïdal",IF($H$66&lt;$D$15/2,"e &gt; B/6 =&gt; Diagramme triangulaire","e ≥ B/2 : instable")))</f>
        <v>e &lt; B/6 =&gt; Diagramme Trapézoïdal</v>
      </c>
      <c r="F122" s="3">
        <f>IF($D$66&lt;=0,0,IF($H$66&lt;=$D$15/6+0.000001,$D$66/($D$15*$C$15)*(1+6*$H$66/$D$15),IF($H$66&lt;$D$15/2,2*$D$66/(3*$C$15*($D$15/2-$H$66)),1000000000)))/100</f>
        <v>0.48436549586776861</v>
      </c>
      <c r="G122" s="3">
        <f>IF($D$66&lt;=0,0,IF($H$66&lt;=$D$15/6+0.000001,$D$66/($D$15*$C$15)*(1-6*$H$66/$D$15),0))/100</f>
        <v>0.48436549586776861</v>
      </c>
      <c r="H122" s="10">
        <f>(3*$F$122+$G$122)/4</f>
        <v>0.48436549586776861</v>
      </c>
      <c r="I122" s="3">
        <f t="shared" si="3"/>
        <v>3</v>
      </c>
      <c r="J122" s="13">
        <f>$H$122/$I$122</f>
        <v>0.16145516528925621</v>
      </c>
      <c r="K122" s="9" t="str">
        <f>IF($H$122&lt;=$I$122+0.00001,"OK","NON OK")</f>
        <v>OK</v>
      </c>
    </row>
    <row r="123" spans="2:11" ht="15.75" x14ac:dyDescent="0.25">
      <c r="B123" s="7" t="s">
        <v>70</v>
      </c>
      <c r="C123" s="10">
        <f>$D$67</f>
        <v>440.55140625000001</v>
      </c>
      <c r="D123" s="5">
        <f>$H$67</f>
        <v>0.15474925067271872</v>
      </c>
      <c r="E123" s="12" t="str">
        <f>IF($D$67&lt;=0,"N ≤ 0 : soulèvement",IF($H$67&lt;=$D$15/6+0.000001,"e &lt; B/6 =&gt; Diagramme Trapézoïdal",IF($H$67&lt;$D$15/2,"e &gt; B/6 =&gt; Diagramme triangulaire","e ≥ B/2 : instable")))</f>
        <v>e &lt; B/6 =&gt; Diagramme Trapézoïdal</v>
      </c>
      <c r="F123" s="3">
        <f>IF($D$67&lt;=0,0,IF($H$67&lt;=$D$15/6+0.000001,$D$67/($D$15*$C$15)*(1+6*$H$67/$D$15),IF($H$67&lt;$D$15/2,2*$D$67/(3*$C$15*($D$15/2-$H$67)),1000000000)))/100</f>
        <v>0.77923551840721261</v>
      </c>
      <c r="G123" s="3">
        <f>IF($D$67&lt;=0,0,IF($H$67&lt;=$D$15/6+0.000001,$D$67/($D$15*$C$15)*(1-6*$H$67/$D$15),0))/100</f>
        <v>0.38585910969196091</v>
      </c>
      <c r="H123" s="10">
        <f>(3*$F$123+$G$123)/4</f>
        <v>0.68089141622839966</v>
      </c>
      <c r="I123" s="3">
        <f t="shared" si="3"/>
        <v>3</v>
      </c>
      <c r="J123" s="13">
        <f>$H$123/$I$123</f>
        <v>0.22696380540946656</v>
      </c>
      <c r="K123" s="9" t="str">
        <f>IF($H$123&lt;=$I$123+0.00001,"OK","NON OK")</f>
        <v>OK</v>
      </c>
    </row>
    <row r="124" spans="2:11" ht="15.75" x14ac:dyDescent="0.25">
      <c r="B124" s="7" t="s">
        <v>71</v>
      </c>
      <c r="C124" s="10">
        <f>$D$68</f>
        <v>356.33437500000002</v>
      </c>
      <c r="D124" s="5">
        <f>$H$68</f>
        <v>0</v>
      </c>
      <c r="E124" s="12" t="str">
        <f>IF($D$68&lt;=0,"N ≤ 0 : soulèvement",IF($H$68&lt;=$D$15/6+0.000001,"e &lt; B/6 =&gt; Diagramme Trapézoïdal",IF($H$68&lt;$D$15/2,"e &gt; B/6 =&gt; Diagramme triangulaire","e ≥ B/2 : instable")))</f>
        <v>e &lt; B/6 =&gt; Diagramme Trapézoïdal</v>
      </c>
      <c r="F124" s="3">
        <f>IF($D$68&lt;=0,0,IF($H$68&lt;=$D$15/6+0.000001,$D$68/($D$15*$C$15)*(1+6*$H$68/$D$15),IF($H$68&lt;$D$15/2,2*$D$68/(3*$C$15*($D$15/2-$H$68)),1000000000)))/100</f>
        <v>0.47118595041322314</v>
      </c>
      <c r="G124" s="3">
        <f>IF($D$68&lt;=0,0,IF($H$68&lt;=$D$15/6+0.000001,$D$68/($D$15*$C$15)*(1-6*$H$68/$D$15),0))/100</f>
        <v>0.47118595041322314</v>
      </c>
      <c r="H124" s="10">
        <f>(3*$F$124+$G$124)/4</f>
        <v>0.47118595041322314</v>
      </c>
      <c r="I124" s="3">
        <f t="shared" ref="I124:I129" si="4">$B$8</f>
        <v>2</v>
      </c>
      <c r="J124" s="13">
        <f>$H$124/$I$124</f>
        <v>0.23559297520661157</v>
      </c>
      <c r="K124" s="9" t="str">
        <f>IF($H$124&lt;=$I$124+0.00001,"OK","NON OK")</f>
        <v>OK</v>
      </c>
    </row>
    <row r="125" spans="2:11" ht="15.75" x14ac:dyDescent="0.25">
      <c r="B125" s="7" t="s">
        <v>73</v>
      </c>
      <c r="C125" s="10">
        <f>$D$69</f>
        <v>366.33437500000002</v>
      </c>
      <c r="D125" s="5">
        <f>$H$69</f>
        <v>0</v>
      </c>
      <c r="E125" s="12" t="str">
        <f>IF($D$69&lt;=0,"N ≤ 0 : soulèvement",IF($H$69&lt;=$D$15/6+0.000001,"e &lt; B/6 =&gt; Diagramme Trapézoïdal",IF($H$69&lt;$D$15/2,"e &gt; B/6 =&gt; Diagramme triangulaire","e ≥ B/2 : instable")))</f>
        <v>e &lt; B/6 =&gt; Diagramme Trapézoïdal</v>
      </c>
      <c r="F125" s="3">
        <f>IF($D$69&lt;=0,0,IF($H$69&lt;=$D$15/6+0.000001,$D$69/($D$15*$C$15)*(1+6*$H$69/$D$15),IF($H$69&lt;$D$15/2,2*$D$69/(3*$C$15*($D$15/2-$H$69)),1000000000)))/100</f>
        <v>0.48440909090909096</v>
      </c>
      <c r="G125" s="3">
        <f>IF($D$69&lt;=0,0,IF($H$69&lt;=$D$15/6+0.000001,$D$69/($D$15*$C$15)*(1-6*$H$69/$D$15),0))/100</f>
        <v>0.48440909090909096</v>
      </c>
      <c r="H125" s="10">
        <f>(3*$F$125+$G$125)/4</f>
        <v>0.48440909090909096</v>
      </c>
      <c r="I125" s="3">
        <f t="shared" si="4"/>
        <v>2</v>
      </c>
      <c r="J125" s="13">
        <f>$H$125/$I$125</f>
        <v>0.24220454545454548</v>
      </c>
      <c r="K125" s="9" t="str">
        <f>IF($H$125&lt;=$I$125+0.00001,"OK","NON OK")</f>
        <v>OK</v>
      </c>
    </row>
    <row r="126" spans="2:11" ht="15.75" x14ac:dyDescent="0.25">
      <c r="B126" s="7" t="s">
        <v>74</v>
      </c>
      <c r="C126" s="10">
        <f>$D$70</f>
        <v>231.33437499999999</v>
      </c>
      <c r="D126" s="5">
        <f>$H$70</f>
        <v>0</v>
      </c>
      <c r="E126" s="12" t="str">
        <f>IF($D$70&lt;=0,"N ≤ 0 : soulèvement",IF($H$70&lt;=$D$15/6+0.000001,"e &lt; B/6 =&gt; Diagramme Trapézoïdal",IF($H$70&lt;$D$15/2,"e &gt; B/6 =&gt; Diagramme triangulaire","e ≥ B/2 : instable")))</f>
        <v>e &lt; B/6 =&gt; Diagramme Trapézoïdal</v>
      </c>
      <c r="F126" s="3">
        <f>IF($D$70&lt;=0,0,IF($H$70&lt;=$D$15/6+0.000001,$D$70/($D$15*$C$15)*(1+6*$H$70/$D$15),IF($H$70&lt;$D$15/2,2*$D$70/(3*$C$15*($D$15/2-$H$70)),1000000000)))/100</f>
        <v>0.30589669421487603</v>
      </c>
      <c r="G126" s="3">
        <f>IF($D$70&lt;=0,0,IF($H$70&lt;=$D$15/6+0.000001,$D$70/($D$15*$C$15)*(1-6*$H$70/$D$15),0))/100</f>
        <v>0.30589669421487603</v>
      </c>
      <c r="H126" s="10">
        <f>(3*$F$126+$G$126)/4</f>
        <v>0.30589669421487603</v>
      </c>
      <c r="I126" s="3">
        <f t="shared" si="4"/>
        <v>2</v>
      </c>
      <c r="J126" s="13">
        <f>$H$126/$I$126</f>
        <v>0.15294834710743802</v>
      </c>
      <c r="K126" s="9" t="str">
        <f>IF($H$126&lt;=$I$126+0.00001,"OK","NON OK")</f>
        <v>OK</v>
      </c>
    </row>
    <row r="127" spans="2:11" ht="15.75" x14ac:dyDescent="0.25">
      <c r="B127" s="7" t="s">
        <v>75</v>
      </c>
      <c r="C127" s="10">
        <f>$D$71</f>
        <v>286.33437500000002</v>
      </c>
      <c r="D127" s="5">
        <f>$H$71</f>
        <v>0.17636722800048019</v>
      </c>
      <c r="E127" s="12" t="str">
        <f>IF($D$71&lt;=0,"N ≤ 0 : soulèvement",IF($H$71&lt;=$D$15/6+0.000001,"e &lt; B/6 =&gt; Diagramme Trapézoïdal",IF($H$71&lt;$D$15/2,"e &gt; B/6 =&gt; Diagramme triangulaire","e ≥ B/2 : instable")))</f>
        <v>e &lt; B/6 =&gt; Diagramme Trapézoïdal</v>
      </c>
      <c r="F127" s="3">
        <f>IF($D$71&lt;=0,0,IF($H$71&lt;=$D$15/6+0.000001,$D$71/($D$15*$C$15)*(1+6*$H$71/$D$15),IF($H$71&lt;$D$15/2,2*$D$71/(3*$C$15*($D$15/2-$H$71)),1000000000)))/100</f>
        <v>0.52431893313298272</v>
      </c>
      <c r="G127" s="3">
        <f>IF($D$71&lt;=0,0,IF($H$71&lt;=$D$15/6+0.000001,$D$71/($D$15*$C$15)*(1-6*$H$71/$D$15),0))/100</f>
        <v>0.23292900075131487</v>
      </c>
      <c r="H127" s="10">
        <f>(3*$F$127+$G$127)/4</f>
        <v>0.45147145003756578</v>
      </c>
      <c r="I127" s="3">
        <f t="shared" si="4"/>
        <v>2</v>
      </c>
      <c r="J127" s="13">
        <f>$H$127/$I$127</f>
        <v>0.22573572501878289</v>
      </c>
      <c r="K127" s="9" t="str">
        <f>IF($H$127&lt;=$I$127+0.00001,"OK","NON OK")</f>
        <v>OK</v>
      </c>
    </row>
    <row r="128" spans="2:11" ht="15.75" x14ac:dyDescent="0.25">
      <c r="B128" s="7" t="s">
        <v>76</v>
      </c>
      <c r="C128" s="10">
        <f>$D$72</f>
        <v>267.83437500000002</v>
      </c>
      <c r="D128" s="5">
        <f>$H$72</f>
        <v>0</v>
      </c>
      <c r="E128" s="12" t="str">
        <f>IF($D$72&lt;=0,"N ≤ 0 : soulèvement",IF($H$72&lt;=$D$15/6+0.000001,"e &lt; B/6 =&gt; Diagramme Trapézoïdal",IF($H$72&lt;$D$15/2,"e &gt; B/6 =&gt; Diagramme triangulaire","e ≥ B/2 : instable")))</f>
        <v>e &lt; B/6 =&gt; Diagramme Trapézoïdal</v>
      </c>
      <c r="F128" s="3">
        <f>IF($D$72&lt;=0,0,IF($H$72&lt;=$D$15/6+0.000001,$D$72/($D$15*$C$15)*(1+6*$H$72/$D$15),IF($H$72&lt;$D$15/2,2*$D$72/(3*$C$15*($D$15/2-$H$72)),1000000000)))/100</f>
        <v>0.35416115702479345</v>
      </c>
      <c r="G128" s="3">
        <f>IF($D$72&lt;=0,0,IF($H$72&lt;=$D$15/6+0.000001,$D$72/($D$15*$C$15)*(1-6*$H$72/$D$15),0))/100</f>
        <v>0.35416115702479345</v>
      </c>
      <c r="H128" s="10">
        <f>(3*$F$128+$G$128)/4</f>
        <v>0.35416115702479345</v>
      </c>
      <c r="I128" s="3">
        <f t="shared" si="4"/>
        <v>2</v>
      </c>
      <c r="J128" s="13">
        <f>$H$128/$I$128</f>
        <v>0.17708057851239672</v>
      </c>
      <c r="K128" s="9" t="str">
        <f>IF($H$128&lt;=$I$128+0.00001,"OK","NON OK")</f>
        <v>OK</v>
      </c>
    </row>
    <row r="129" spans="2:11" ht="15.75" x14ac:dyDescent="0.25">
      <c r="B129" s="7" t="s">
        <v>77</v>
      </c>
      <c r="C129" s="10">
        <f>$D$73</f>
        <v>317.33437500000002</v>
      </c>
      <c r="D129" s="5">
        <f>$H$73</f>
        <v>0.14322431977310998</v>
      </c>
      <c r="E129" s="12" t="str">
        <f>IF($D$73&lt;=0,"N ≤ 0 : soulèvement",IF($H$73&lt;=$D$15/6+0.000001,"e &lt; B/6 =&gt; Diagramme Trapézoïdal",IF($H$73&lt;$D$15/2,"e &gt; B/6 =&gt; Diagramme triangulaire","e ≥ B/2 : instable")))</f>
        <v>e &lt; B/6 =&gt; Diagramme Trapézoïdal</v>
      </c>
      <c r="F129" s="3">
        <f>IF($D$73&lt;=0,0,IF($H$73&lt;=$D$15/6+0.000001,$D$73/($D$15*$C$15)*(1+6*$H$73/$D$15),IF($H$73&lt;$D$15/2,2*$D$73/(3*$C$15*($D$15/2-$H$73)),1000000000)))/100</f>
        <v>0.55074117205108941</v>
      </c>
      <c r="G129" s="3">
        <f>IF($D$73&lt;=0,0,IF($H$73&lt;=$D$15/6+0.000001,$D$73/($D$15*$C$15)*(1-6*$H$73/$D$15),0))/100</f>
        <v>0.2884902329075883</v>
      </c>
      <c r="H129" s="10">
        <f>(3*$F$129+$G$129)/4</f>
        <v>0.48517843726521415</v>
      </c>
      <c r="I129" s="3">
        <f t="shared" si="4"/>
        <v>2</v>
      </c>
      <c r="J129" s="13">
        <f>$H$129/$I$129</f>
        <v>0.24258921863260707</v>
      </c>
      <c r="K129" s="9" t="str">
        <f>IF($H$129&lt;=$I$129+0.00001,"OK","NON OK")</f>
        <v>OK</v>
      </c>
    </row>
    <row r="130" spans="2:11" ht="15.75" x14ac:dyDescent="0.25">
      <c r="B130" s="7" t="s">
        <v>78</v>
      </c>
      <c r="C130" s="10">
        <f>$D$74</f>
        <v>379.97437500000001</v>
      </c>
      <c r="D130" s="5">
        <f>$H$74</f>
        <v>2.6717591153350803E-2</v>
      </c>
      <c r="E130" s="12" t="str">
        <f>IF($D$74&lt;=0,"N ≤ 0 : soulèvement",IF($H$74&lt;=$D$15/6+0.000001,"e &lt; B/6 =&gt; Diagramme Trapézoïdal",IF($H$74&lt;$D$15/2,"e &gt; B/6 =&gt; Diagramme triangulaire","e ≥ B/2 : instable")))</f>
        <v>e &lt; B/6 =&gt; Diagramme Trapézoïdal</v>
      </c>
      <c r="F130" s="3">
        <f>IF($D$74&lt;=0,0,IF($H$74&lt;=$D$15/6+0.000001,$D$74/($D$15*$C$15)*(1+6*$H$74/$D$15),IF($H$74&lt;$D$15/2,2*$D$74/(3*$C$15*($D$15/2-$H$74)),1000000000)))/100</f>
        <v>0.53173447032306531</v>
      </c>
      <c r="G130" s="3">
        <f>IF($D$74&lt;=0,0,IF($H$74&lt;=$D$15/6+0.000001,$D$74/($D$15*$C$15)*(1-6*$H$74/$D$15),0))/100</f>
        <v>0.47315643876784369</v>
      </c>
      <c r="H130" s="10">
        <f>(3*$F$130+$G$130)/4</f>
        <v>0.51708996243425986</v>
      </c>
      <c r="I130" s="3">
        <f t="shared" ref="I130:I137" si="5">$D$8</f>
        <v>3</v>
      </c>
      <c r="J130" s="13">
        <f>$H$130/$I$130</f>
        <v>0.17236332081141995</v>
      </c>
      <c r="K130" s="9" t="str">
        <f>IF($H$130&lt;=$I$130+0.00001,"OK","NON OK")</f>
        <v>OK</v>
      </c>
    </row>
    <row r="131" spans="2:11" ht="15.75" x14ac:dyDescent="0.25">
      <c r="B131" s="7" t="s">
        <v>80</v>
      </c>
      <c r="C131" s="10">
        <f>$D$75</f>
        <v>362.69437499999998</v>
      </c>
      <c r="D131" s="5">
        <f>$H$75</f>
        <v>2.7990508537663428E-2</v>
      </c>
      <c r="E131" s="12" t="str">
        <f>IF($D$75&lt;=0,"N ≤ 0 : soulèvement",IF($H$75&lt;=$D$15/6+0.000001,"e &lt; B/6 =&gt; Diagramme Trapézoïdal",IF($H$75&lt;$D$15/2,"e &gt; B/6 =&gt; Diagramme triangulaire","e ≥ B/2 : instable")))</f>
        <v>e &lt; B/6 =&gt; Diagramme Trapézoïdal</v>
      </c>
      <c r="F131" s="3">
        <f>IF($D$75&lt;=0,0,IF($H$75&lt;=$D$15/6+0.000001,$D$75/($D$15*$C$15)*(1+6*$H$75/$D$15),IF($H$75&lt;$D$15/2,2*$D$75/(3*$C$15*($D$15/2-$H$75)),1000000000)))/100</f>
        <v>0.50888488354620576</v>
      </c>
      <c r="G131" s="3">
        <f>IF($D$75&lt;=0,0,IF($H$75&lt;=$D$15/6+0.000001,$D$75/($D$15*$C$15)*(1-6*$H$75/$D$15),0))/100</f>
        <v>0.45030685199098419</v>
      </c>
      <c r="H131" s="10">
        <f>(3*$F$131+$G$131)/4</f>
        <v>0.49424037565740042</v>
      </c>
      <c r="I131" s="3">
        <f t="shared" si="5"/>
        <v>3</v>
      </c>
      <c r="J131" s="13">
        <f>$H$131/$I$131</f>
        <v>0.16474679188580013</v>
      </c>
      <c r="K131" s="9" t="str">
        <f>IF($H$131&lt;=$I$131+0.00001,"OK","NON OK")</f>
        <v>OK</v>
      </c>
    </row>
    <row r="132" spans="2:11" ht="15.75" x14ac:dyDescent="0.25">
      <c r="B132" s="7" t="s">
        <v>81</v>
      </c>
      <c r="C132" s="10">
        <f>$D$76</f>
        <v>374.93437499999999</v>
      </c>
      <c r="D132" s="5">
        <f>$H$76</f>
        <v>9.0255794764083727E-2</v>
      </c>
      <c r="E132" s="12" t="str">
        <f>IF($D$76&lt;=0,"N ≤ 0 : soulèvement",IF($H$76&lt;=$D$15/6+0.000001,"e &lt; B/6 =&gt; Diagramme Trapézoïdal",IF($H$76&lt;$D$15/2,"e &gt; B/6 =&gt; Diagramme triangulaire","e ≥ B/2 : instable")))</f>
        <v>e &lt; B/6 =&gt; Diagramme Trapézoïdal</v>
      </c>
      <c r="F132" s="3">
        <f>IF($D$76&lt;=0,0,IF($H$76&lt;=$D$15/6+0.000001,$D$76/($D$15*$C$15)*(1+6*$H$76/$D$15),IF($H$76&lt;$D$15/2,2*$D$76/(3*$C$15*($D$15/2-$H$76)),1000000000)))/100</f>
        <v>0.59341104432757319</v>
      </c>
      <c r="G132" s="3">
        <f>IF($D$76&lt;=0,0,IF($H$76&lt;=$D$15/6+0.000001,$D$76/($D$15*$C$15)*(1-6*$H$76/$D$15),0))/100</f>
        <v>0.39815093914350114</v>
      </c>
      <c r="H132" s="10">
        <f>(3*$F$132+$G$132)/4</f>
        <v>0.54459601803155511</v>
      </c>
      <c r="I132" s="3">
        <f t="shared" si="5"/>
        <v>3</v>
      </c>
      <c r="J132" s="13">
        <f>$H$132/$I$132</f>
        <v>0.18153200601051836</v>
      </c>
      <c r="K132" s="9" t="str">
        <f>IF($H$132&lt;=$I$132+0.00001,"OK","NON OK")</f>
        <v>OK</v>
      </c>
    </row>
    <row r="133" spans="2:11" ht="15.75" x14ac:dyDescent="0.25">
      <c r="B133" s="7" t="s">
        <v>82</v>
      </c>
      <c r="C133" s="10">
        <f>$D$77</f>
        <v>317.33437500000002</v>
      </c>
      <c r="D133" s="5">
        <f>$H$77</f>
        <v>0.10663830541522645</v>
      </c>
      <c r="E133" s="12" t="str">
        <f>IF($D$77&lt;=0,"N ≤ 0 : soulèvement",IF($H$77&lt;=$D$15/6+0.000001,"e &lt; B/6 =&gt; Diagramme Trapézoïdal",IF($H$77&lt;$D$15/2,"e &gt; B/6 =&gt; Diagramme triangulaire","e ≥ B/2 : instable")))</f>
        <v>e &lt; B/6 =&gt; Diagramme Trapézoïdal</v>
      </c>
      <c r="F133" s="3">
        <f>IF($D$77&lt;=0,0,IF($H$77&lt;=$D$15/6+0.000001,$D$77/($D$15*$C$15)*(1+6*$H$77/$D$15),IF($H$77&lt;$D$15/2,2*$D$77/(3*$C$15*($D$15/2-$H$77)),1000000000)))/100</f>
        <v>0.51724575507137494</v>
      </c>
      <c r="G133" s="3">
        <f>IF($D$77&lt;=0,0,IF($H$77&lt;=$D$15/6+0.000001,$D$77/($D$15*$C$15)*(1-6*$H$77/$D$15),0))/100</f>
        <v>0.32198564988730277</v>
      </c>
      <c r="H133" s="10">
        <f>(3*$F$133+$G$133)/4</f>
        <v>0.46843072877535691</v>
      </c>
      <c r="I133" s="3">
        <f t="shared" si="5"/>
        <v>3</v>
      </c>
      <c r="J133" s="13">
        <f>$H$133/$I$133</f>
        <v>0.15614357625845229</v>
      </c>
      <c r="K133" s="9" t="str">
        <f>IF($H$133&lt;=$I$133+0.00001,"OK","NON OK")</f>
        <v>OK</v>
      </c>
    </row>
    <row r="134" spans="2:11" ht="15.75" x14ac:dyDescent="0.25">
      <c r="B134" s="7" t="s">
        <v>83</v>
      </c>
      <c r="C134" s="10">
        <f>$D$78</f>
        <v>290.69437499999998</v>
      </c>
      <c r="D134" s="5">
        <f>$H$78</f>
        <v>3.4923276379186907E-2</v>
      </c>
      <c r="E134" s="12" t="str">
        <f>IF($D$78&lt;=0,"N ≤ 0 : soulèvement",IF($H$78&lt;=$D$15/6+0.000001,"e &lt; B/6 =&gt; Diagramme Trapézoïdal",IF($H$78&lt;$D$15/2,"e &gt; B/6 =&gt; Diagramme triangulaire","e ≥ B/2 : instable")))</f>
        <v>e &lt; B/6 =&gt; Diagramme Trapézoïdal</v>
      </c>
      <c r="F134" s="3">
        <f>IF($D$78&lt;=0,0,IF($H$78&lt;=$D$15/6+0.000001,$D$78/($D$15*$C$15)*(1+6*$H$78/$D$15),IF($H$78&lt;$D$15/2,2*$D$78/(3*$C$15*($D$15/2-$H$78)),1000000000)))/100</f>
        <v>0.41367827197595797</v>
      </c>
      <c r="G134" s="3">
        <f>IF($D$78&lt;=0,0,IF($H$78&lt;=$D$15/6+0.000001,$D$78/($D$15*$C$15)*(1-6*$H$78/$D$15),0))/100</f>
        <v>0.35510024042073624</v>
      </c>
      <c r="H134" s="10">
        <f>(3*$F$134+$G$134)/4</f>
        <v>0.39903376408715252</v>
      </c>
      <c r="I134" s="3">
        <f t="shared" si="5"/>
        <v>3</v>
      </c>
      <c r="J134" s="13">
        <f>$H$134/$I$134</f>
        <v>0.13301125469571751</v>
      </c>
      <c r="K134" s="9" t="str">
        <f>IF($H$134&lt;=$I$134+0.00001,"OK","NON OK")</f>
        <v>OK</v>
      </c>
    </row>
    <row r="135" spans="2:11" ht="15.75" x14ac:dyDescent="0.25">
      <c r="B135" s="7" t="s">
        <v>84</v>
      </c>
      <c r="C135" s="10">
        <f>$D$79</f>
        <v>307.97437500000001</v>
      </c>
      <c r="D135" s="5">
        <f>$H$79</f>
        <v>3.2963781483443227E-2</v>
      </c>
      <c r="E135" s="12" t="str">
        <f>IF($D$79&lt;=0,"N ≤ 0 : soulèvement",IF($H$79&lt;=$D$15/6+0.000001,"e &lt; B/6 =&gt; Diagramme Trapézoïdal",IF($H$79&lt;$D$15/2,"e &gt; B/6 =&gt; Diagramme triangulaire","e ≥ B/2 : instable")))</f>
        <v>e &lt; B/6 =&gt; Diagramme Trapézoïdal</v>
      </c>
      <c r="F135" s="3">
        <f>IF($D$79&lt;=0,0,IF($H$79&lt;=$D$15/6+0.000001,$D$79/($D$15*$C$15)*(1+6*$H$79/$D$15),IF($H$79&lt;$D$15/2,2*$D$79/(3*$C$15*($D$15/2-$H$79)),1000000000)))/100</f>
        <v>0.43652785875281741</v>
      </c>
      <c r="G135" s="3">
        <f>IF($D$79&lt;=0,0,IF($H$79&lt;=$D$15/6+0.000001,$D$79/($D$15*$C$15)*(1-6*$H$79/$D$15),0))/100</f>
        <v>0.37794982719759579</v>
      </c>
      <c r="H135" s="10">
        <f>(3*$F$135+$G$135)/4</f>
        <v>0.42188335086401202</v>
      </c>
      <c r="I135" s="3">
        <f t="shared" si="5"/>
        <v>3</v>
      </c>
      <c r="J135" s="13">
        <f>$H$135/$I$135</f>
        <v>0.14062778362133735</v>
      </c>
      <c r="K135" s="9" t="str">
        <f>IF($H$135&lt;=$I$135+0.00001,"OK","NON OK")</f>
        <v>OK</v>
      </c>
    </row>
    <row r="136" spans="2:11" ht="15.75" x14ac:dyDescent="0.25">
      <c r="B136" s="7" t="s">
        <v>85</v>
      </c>
      <c r="C136" s="10">
        <f>$D$80</f>
        <v>295.734375</v>
      </c>
      <c r="D136" s="5">
        <f>$H$80</f>
        <v>0.11442700903471233</v>
      </c>
      <c r="E136" s="12" t="str">
        <f>IF($D$80&lt;=0,"N ≤ 0 : soulèvement",IF($H$80&lt;=$D$15/6+0.000001,"e &lt; B/6 =&gt; Diagramme Trapézoïdal",IF($H$80&lt;$D$15/2,"e &gt; B/6 =&gt; Diagramme triangulaire","e ≥ B/2 : instable")))</f>
        <v>e &lt; B/6 =&gt; Diagramme Trapézoïdal</v>
      </c>
      <c r="F136" s="3">
        <f>IF($D$80&lt;=0,0,IF($H$80&lt;=$D$15/6+0.000001,$D$80/($D$15*$C$15)*(1+6*$H$80/$D$15),IF($H$80&lt;$D$15/2,2*$D$80/(3*$C$15*($D$15/2-$H$80)),1000000000)))/100</f>
        <v>0.48868377160030052</v>
      </c>
      <c r="G136" s="3">
        <f>IF($D$80&lt;=0,0,IF($H$80&lt;=$D$15/6+0.000001,$D$80/($D$15*$C$15)*(1-6*$H$80/$D$15),0))/100</f>
        <v>0.29342366641622841</v>
      </c>
      <c r="H136" s="10">
        <f>(3*$F$136+$G$136)/4</f>
        <v>0.43986874530428249</v>
      </c>
      <c r="I136" s="3">
        <f t="shared" si="5"/>
        <v>3</v>
      </c>
      <c r="J136" s="13">
        <f>$H$136/$I$136</f>
        <v>0.1466229151014275</v>
      </c>
      <c r="K136" s="9" t="str">
        <f>IF($H$136&lt;=$I$136+0.00001,"OK","NON OK")</f>
        <v>OK</v>
      </c>
    </row>
    <row r="137" spans="2:11" ht="15.75" x14ac:dyDescent="0.25">
      <c r="B137" s="7" t="s">
        <v>86</v>
      </c>
      <c r="C137" s="10">
        <f>$D$81</f>
        <v>353.33437500000002</v>
      </c>
      <c r="D137" s="5">
        <f>$H$81</f>
        <v>9.5773302555122189E-2</v>
      </c>
      <c r="E137" s="12" t="str">
        <f>IF($D$81&lt;=0,"N ≤ 0 : soulèvement",IF($H$81&lt;=$D$15/6+0.000001,"e &lt; B/6 =&gt; Diagramme Trapézoïdal",IF($H$81&lt;$D$15/2,"e &gt; B/6 =&gt; Diagramme triangulaire","e ≥ B/2 : instable")))</f>
        <v>e &lt; B/6 =&gt; Diagramme Trapézoïdal</v>
      </c>
      <c r="F137" s="3">
        <f>IF($D$81&lt;=0,0,IF($H$81&lt;=$D$15/6+0.000001,$D$81/($D$15*$C$15)*(1+6*$H$81/$D$15),IF($H$81&lt;$D$15/2,2*$D$81/(3*$C$15*($D$15/2-$H$81)),1000000000)))/100</f>
        <v>0.564849060856499</v>
      </c>
      <c r="G137" s="3">
        <f>IF($D$81&lt;=0,0,IF($H$81&lt;=$D$15/6+0.000001,$D$81/($D$15*$C$15)*(1-6*$H$81/$D$15),0))/100</f>
        <v>0.36958895567242678</v>
      </c>
      <c r="H137" s="10">
        <f>(3*$F$137+$G$137)/4</f>
        <v>0.51603403456048091</v>
      </c>
      <c r="I137" s="3">
        <f t="shared" si="5"/>
        <v>3</v>
      </c>
      <c r="J137" s="13">
        <f>$H$137/$I$137</f>
        <v>0.17201134485349365</v>
      </c>
      <c r="K137" s="9" t="str">
        <f>IF($H$137&lt;=$I$137+0.00001,"OK","NON OK")</f>
        <v>OK</v>
      </c>
    </row>
    <row r="139" spans="2:11" ht="20.100000000000001" customHeight="1" x14ac:dyDescent="0.25">
      <c r="B139" s="28" t="s">
        <v>120</v>
      </c>
      <c r="C139" s="29"/>
      <c r="D139" s="29"/>
      <c r="E139" s="29"/>
      <c r="F139" s="29"/>
      <c r="G139" s="29"/>
      <c r="H139" s="29"/>
      <c r="I139" s="29"/>
      <c r="J139" s="29"/>
      <c r="K139" s="29"/>
    </row>
    <row r="140" spans="2:11" ht="30" customHeight="1" x14ac:dyDescent="0.25">
      <c r="B140" s="20" t="s">
        <v>121</v>
      </c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2:11" ht="32.1" customHeight="1" x14ac:dyDescent="0.25">
      <c r="B141" s="2" t="s">
        <v>51</v>
      </c>
      <c r="C141" s="2" t="s">
        <v>101</v>
      </c>
      <c r="D141" s="2" t="s">
        <v>122</v>
      </c>
      <c r="E141" s="2" t="s">
        <v>123</v>
      </c>
      <c r="F141" s="2" t="s">
        <v>124</v>
      </c>
      <c r="G141" s="2" t="s">
        <v>125</v>
      </c>
      <c r="H141" s="2" t="s">
        <v>40</v>
      </c>
    </row>
    <row r="142" spans="2:11" ht="15.75" x14ac:dyDescent="0.25">
      <c r="B142" s="7" t="s">
        <v>59</v>
      </c>
      <c r="C142" s="3">
        <v>1.35</v>
      </c>
      <c r="D142" s="10">
        <f>$E$23+$C$142*$F$53</f>
        <v>485.55140625000001</v>
      </c>
      <c r="E142" s="3">
        <f>IF($D$142&lt;=0,0,IF(ABS($E$58)&lt;0.000001,999,$D$142*$C$15/2/ABS($E$58)))</f>
        <v>8.2791813441685278</v>
      </c>
      <c r="F142" s="3">
        <f>IF($D$142&lt;=0,0,IF(ABS($F$58)&lt;0.000001,999,$D$142*$D$15/2/ABS($F$58)))</f>
        <v>999</v>
      </c>
      <c r="G142" s="3">
        <v>1.5</v>
      </c>
      <c r="H142" s="9" t="str">
        <f>IF(MIN($E$142,$F$142)&gt;=$G$142-0.00001,"OK","NON OK")</f>
        <v>OK</v>
      </c>
    </row>
    <row r="143" spans="2:11" ht="15.75" x14ac:dyDescent="0.25">
      <c r="B143" s="7" t="s">
        <v>62</v>
      </c>
      <c r="C143" s="3">
        <v>1.35</v>
      </c>
      <c r="D143" s="10">
        <f>$E$24+$C$143*$F$53</f>
        <v>500.55140625000001</v>
      </c>
      <c r="E143" s="3">
        <f>IF($D$143&lt;=0,0,IF(ABS($E$59)&lt;0.000001,999,$D$143*$C$15/2/ABS($E$59)))</f>
        <v>7.6269745522357049</v>
      </c>
      <c r="F143" s="3">
        <f>IF($D$143&lt;=0,0,IF(ABS($F$59)&lt;0.000001,999,$D$143*$D$15/2/ABS($F$59)))</f>
        <v>999</v>
      </c>
      <c r="G143" s="3">
        <v>1.5</v>
      </c>
      <c r="H143" s="9" t="str">
        <f>IF(MIN($E$143,$F$143)&gt;=$G$143-0.00001,"OK","NON OK")</f>
        <v>OK</v>
      </c>
    </row>
    <row r="144" spans="2:11" ht="15.75" x14ac:dyDescent="0.25">
      <c r="B144" s="7" t="s">
        <v>63</v>
      </c>
      <c r="C144" s="3">
        <v>1.35</v>
      </c>
      <c r="D144" s="10">
        <f>$E$25+$C$144*$F$53</f>
        <v>298.05140625000001</v>
      </c>
      <c r="E144" s="3">
        <f>IF($D$144&lt;=0,0,IF(ABS($E$60)&lt;0.000001,999,$D$144*$C$15/2/ABS($E$60)))</f>
        <v>3.7406049981174698</v>
      </c>
      <c r="F144" s="3">
        <f>IF($D$144&lt;=0,0,IF(ABS($F$60)&lt;0.000001,999,$D$144*$D$15/2/ABS($F$60)))</f>
        <v>999</v>
      </c>
      <c r="G144" s="3">
        <v>1.5</v>
      </c>
      <c r="H144" s="9" t="str">
        <f>IF(MIN($E$144,$F$144)&gt;=$G$144-0.00001,"OK","NON OK")</f>
        <v>OK</v>
      </c>
    </row>
    <row r="145" spans="2:8" ht="15.75" x14ac:dyDescent="0.25">
      <c r="B145" s="7" t="s">
        <v>64</v>
      </c>
      <c r="C145" s="3">
        <v>1.35</v>
      </c>
      <c r="D145" s="10">
        <f>$E$26+$C$145*$F$53</f>
        <v>380.55140625000001</v>
      </c>
      <c r="E145" s="3">
        <f>IF($D$145&lt;=0,0,IF(ABS($E$61)&lt;0.000001,999,$D$145*$C$15/2/ABS($E$61)))</f>
        <v>10.09371496129919</v>
      </c>
      <c r="F145" s="3">
        <f>IF($D$145&lt;=0,0,IF(ABS($F$61)&lt;0.000001,999,$D$145*$D$15/2/ABS($F$61)))</f>
        <v>6.9076987933168317</v>
      </c>
      <c r="G145" s="3">
        <v>1.5</v>
      </c>
      <c r="H145" s="9" t="str">
        <f>IF(MIN($E$145,$F$145)&gt;=$G$145-0.00001,"OK","NON OK")</f>
        <v>OK</v>
      </c>
    </row>
    <row r="146" spans="2:8" ht="15.75" x14ac:dyDescent="0.25">
      <c r="B146" s="7" t="s">
        <v>65</v>
      </c>
      <c r="C146" s="3">
        <v>1</v>
      </c>
      <c r="D146" s="10">
        <f>$E$27+$C$146*$F$53</f>
        <v>183.83437499999999</v>
      </c>
      <c r="E146" s="3">
        <f>IF($D$146&lt;=0,0,IF(ABS($E$62)&lt;0.000001,999,$D$146*$C$15/2/ABS($E$62)))</f>
        <v>2.0550590701219513</v>
      </c>
      <c r="F146" s="3">
        <f>IF($D$146&lt;=0,0,IF(ABS($F$62)&lt;0.000001,999,$D$146*$D$15/2/ABS($F$62)))</f>
        <v>999</v>
      </c>
      <c r="G146" s="3">
        <v>1.5</v>
      </c>
      <c r="H146" s="9" t="str">
        <f>IF(MIN($E$146,$F$146)&gt;=$G$146-0.00001,"OK","NON OK")</f>
        <v>OK</v>
      </c>
    </row>
    <row r="147" spans="2:8" ht="15.75" x14ac:dyDescent="0.25">
      <c r="B147" s="7" t="s">
        <v>66</v>
      </c>
      <c r="C147" s="3">
        <v>1</v>
      </c>
      <c r="D147" s="10">
        <f>$E$28+$C$147*$F$53</f>
        <v>266.33437500000002</v>
      </c>
      <c r="E147" s="3">
        <f>IF($D$147&lt;=0,0,IF(ABS($E$63)&lt;0.000001,999,$D$147*$C$15/2/ABS($E$63)))</f>
        <v>9.5367126464843768</v>
      </c>
      <c r="F147" s="3">
        <f>IF($D$147&lt;=0,0,IF(ABS($F$63)&lt;0.000001,999,$D$147*$D$15/2/ABS($F$63)))</f>
        <v>4.8344523514851492</v>
      </c>
      <c r="G147" s="3">
        <v>1.5</v>
      </c>
      <c r="H147" s="9" t="str">
        <f>IF(MIN($E$147,$F$147)&gt;=$G$147-0.00001,"OK","NON OK")</f>
        <v>OK</v>
      </c>
    </row>
    <row r="148" spans="2:8" ht="15.75" x14ac:dyDescent="0.25">
      <c r="B148" s="7" t="s">
        <v>67</v>
      </c>
      <c r="C148" s="3">
        <v>1.35</v>
      </c>
      <c r="D148" s="10">
        <f>$E$29+$C$148*$F$53</f>
        <v>352.80140625000001</v>
      </c>
      <c r="E148" s="3">
        <f>IF($D$148&lt;=0,0,IF(ABS($E$64)&lt;0.000001,999,$D$148*$C$15/2/ABS($E$64)))</f>
        <v>7.1866953125000004</v>
      </c>
      <c r="F148" s="3">
        <f>IF($D$148&lt;=0,0,IF(ABS($F$64)&lt;0.000001,999,$D$148*$D$15/2/ABS($F$64)))</f>
        <v>999</v>
      </c>
      <c r="G148" s="3">
        <v>1.5</v>
      </c>
      <c r="H148" s="9" t="str">
        <f>IF(MIN($E$148,$F$148)&gt;=$G$148-0.00001,"OK","NON OK")</f>
        <v>OK</v>
      </c>
    </row>
    <row r="149" spans="2:8" ht="15.75" x14ac:dyDescent="0.25">
      <c r="B149" s="7" t="s">
        <v>68</v>
      </c>
      <c r="C149" s="3">
        <v>1.35</v>
      </c>
      <c r="D149" s="10">
        <f>$E$30+$C$149*$F$53</f>
        <v>427.05140625000001</v>
      </c>
      <c r="E149" s="3">
        <f>IF($D$149&lt;=0,0,IF(ABS($E$65)&lt;0.000001,999,$D$149*$C$15/2/ABS($E$65)))</f>
        <v>7.5513848198784714</v>
      </c>
      <c r="F149" s="3">
        <f>IF($D$149&lt;=0,0,IF(ABS($F$65)&lt;0.000001,999,$D$149*$D$15/2/ABS($F$65)))</f>
        <v>8.6130646658415841</v>
      </c>
      <c r="G149" s="3">
        <v>1.5</v>
      </c>
      <c r="H149" s="9" t="str">
        <f>IF(MIN($E$149,$F$149)&gt;=$G$149-0.00001,"OK","NON OK")</f>
        <v>OK</v>
      </c>
    </row>
    <row r="150" spans="2:8" ht="15.75" x14ac:dyDescent="0.25">
      <c r="B150" s="7" t="s">
        <v>69</v>
      </c>
      <c r="C150" s="3">
        <v>1.35</v>
      </c>
      <c r="D150" s="10">
        <f>$E$31+$C$150*$F$53</f>
        <v>366.30140625000001</v>
      </c>
      <c r="E150" s="3">
        <f>IF($D$150&lt;=0,0,IF(ABS($E$66)&lt;0.000001,999,$D$150*$C$15/2/ABS($E$66)))</f>
        <v>8.5569900372706424</v>
      </c>
      <c r="F150" s="3">
        <f>IF($D$150&lt;=0,0,IF(ABS($F$66)&lt;0.000001,999,$D$150*$D$15/2/ABS($F$66)))</f>
        <v>999</v>
      </c>
      <c r="G150" s="3">
        <v>1.5</v>
      </c>
      <c r="H150" s="9" t="str">
        <f>IF(MIN($E$150,$F$150)&gt;=$G$150-0.00001,"OK","NON OK")</f>
        <v>OK</v>
      </c>
    </row>
    <row r="151" spans="2:8" ht="15.75" x14ac:dyDescent="0.25">
      <c r="B151" s="7" t="s">
        <v>70</v>
      </c>
      <c r="C151" s="3">
        <v>1.35</v>
      </c>
      <c r="D151" s="10">
        <f>$E$32+$C$151*$F$53</f>
        <v>440.55140625000001</v>
      </c>
      <c r="E151" s="3">
        <f>IF($D$151&lt;=0,0,IF(ABS($E$67)&lt;0.000001,999,$D$151*$C$15/2/ABS($E$67)))</f>
        <v>7.0110900878906248</v>
      </c>
      <c r="F151" s="3">
        <f>IF($D$151&lt;=0,0,IF(ABS($F$67)&lt;0.000001,999,$D$151*$D$15/2/ABS($F$67)))</f>
        <v>8.8853418935643571</v>
      </c>
      <c r="G151" s="3">
        <v>1.5</v>
      </c>
      <c r="H151" s="9" t="str">
        <f>IF(MIN($E$151,$F$151)&gt;=$G$151-0.00001,"OK","NON OK")</f>
        <v>OK</v>
      </c>
    </row>
    <row r="152" spans="2:8" ht="15.75" x14ac:dyDescent="0.25">
      <c r="B152" s="7" t="s">
        <v>71</v>
      </c>
      <c r="C152" s="3">
        <v>1</v>
      </c>
      <c r="D152" s="10">
        <f>$E$33+$C$152*$F$53</f>
        <v>356.33437500000002</v>
      </c>
      <c r="E152" s="3">
        <f>IF($D$152&lt;=0,0,IF(ABS($E$68)&lt;0.000001,999,$D$152*$C$15/2/ABS($E$68)))</f>
        <v>8.5062459309895857</v>
      </c>
      <c r="F152" s="3">
        <f>IF($D$152&lt;=0,0,IF(ABS($F$68)&lt;0.000001,999,$D$152*$D$15/2/ABS($F$68)))</f>
        <v>999</v>
      </c>
      <c r="G152" s="3">
        <v>1.5</v>
      </c>
      <c r="H152" s="9" t="str">
        <f>IF(MIN($E$152,$F$152)&gt;=$G$152-0.00001,"OK","NON OK")</f>
        <v>OK</v>
      </c>
    </row>
    <row r="153" spans="2:8" ht="15.75" x14ac:dyDescent="0.25">
      <c r="B153" s="7" t="s">
        <v>73</v>
      </c>
      <c r="C153" s="3">
        <v>1</v>
      </c>
      <c r="D153" s="10">
        <f>$E$34+$C$153*$F$53</f>
        <v>366.33437500000002</v>
      </c>
      <c r="E153" s="3">
        <f>IF($D$153&lt;=0,0,IF(ABS($E$69)&lt;0.000001,999,$D$153*$C$15/2/ABS($E$69)))</f>
        <v>7.8704650878906257</v>
      </c>
      <c r="F153" s="3">
        <f>IF($D$153&lt;=0,0,IF(ABS($F$69)&lt;0.000001,999,$D$153*$D$15/2/ABS($F$69)))</f>
        <v>999</v>
      </c>
      <c r="G153" s="3">
        <v>1.5</v>
      </c>
      <c r="H153" s="9" t="str">
        <f>IF(MIN($E$153,$F$153)&gt;=$G$153-0.00001,"OK","NON OK")</f>
        <v>OK</v>
      </c>
    </row>
    <row r="154" spans="2:8" ht="15.75" x14ac:dyDescent="0.25">
      <c r="B154" s="7" t="s">
        <v>74</v>
      </c>
      <c r="C154" s="3">
        <v>1</v>
      </c>
      <c r="D154" s="10">
        <f>$E$35+$C$154*$F$53</f>
        <v>231.33437499999999</v>
      </c>
      <c r="E154" s="3">
        <f>IF($D$154&lt;=0,0,IF(ABS($E$70)&lt;0.000001,999,$D$154*$C$15/2/ABS($E$70)))</f>
        <v>4.5966006593208091</v>
      </c>
      <c r="F154" s="3">
        <f>IF($D$154&lt;=0,0,IF(ABS($F$70)&lt;0.000001,999,$D$154*$D$15/2/ABS($F$70)))</f>
        <v>999</v>
      </c>
      <c r="G154" s="3">
        <v>1.5</v>
      </c>
      <c r="H154" s="9" t="str">
        <f>IF(MIN($E$154,$F$154)&gt;=$G$154-0.00001,"OK","NON OK")</f>
        <v>OK</v>
      </c>
    </row>
    <row r="155" spans="2:8" ht="15.75" x14ac:dyDescent="0.25">
      <c r="B155" s="7" t="s">
        <v>75</v>
      </c>
      <c r="C155" s="3">
        <v>1</v>
      </c>
      <c r="D155" s="10">
        <f>$E$36+$C$155*$F$53</f>
        <v>286.33437500000002</v>
      </c>
      <c r="E155" s="3">
        <f>IF($D$155&lt;=0,0,IF(ABS($E$71)&lt;0.000001,999,$D$155*$C$15/2/ABS($E$71)))</f>
        <v>10.252858479817711</v>
      </c>
      <c r="F155" s="3">
        <f>IF($D$155&lt;=0,0,IF(ABS($F$71)&lt;0.000001,999,$D$155*$D$15/2/ABS($F$71)))</f>
        <v>7.7962329826732679</v>
      </c>
      <c r="G155" s="3">
        <v>1.5</v>
      </c>
      <c r="H155" s="9" t="str">
        <f>IF(MIN($E$155,$F$155)&gt;=$G$155-0.00001,"OK","NON OK")</f>
        <v>OK</v>
      </c>
    </row>
    <row r="156" spans="2:8" ht="15.75" x14ac:dyDescent="0.25">
      <c r="B156" s="7" t="s">
        <v>76</v>
      </c>
      <c r="C156" s="3">
        <v>1</v>
      </c>
      <c r="D156" s="10">
        <f>$E$37+$C$156*$F$53</f>
        <v>267.83437500000002</v>
      </c>
      <c r="E156" s="3">
        <f>IF($D$156&lt;=0,0,IF(ABS($E$72)&lt;0.000001,999,$D$156*$C$15/2/ABS($E$72)))</f>
        <v>8.9473339559037921</v>
      </c>
      <c r="F156" s="3">
        <f>IF($D$156&lt;=0,0,IF(ABS($F$72)&lt;0.000001,999,$D$156*$D$15/2/ABS($F$72)))</f>
        <v>999</v>
      </c>
      <c r="G156" s="3">
        <v>1.5</v>
      </c>
      <c r="H156" s="9" t="str">
        <f>IF(MIN($E$156,$F$156)&gt;=$G$156-0.00001,"OK","NON OK")</f>
        <v>OK</v>
      </c>
    </row>
    <row r="157" spans="2:8" ht="15.75" x14ac:dyDescent="0.25">
      <c r="B157" s="7" t="s">
        <v>77</v>
      </c>
      <c r="C157" s="3">
        <v>1</v>
      </c>
      <c r="D157" s="10">
        <f>$E$38+$C$157*$F$53</f>
        <v>317.33437500000002</v>
      </c>
      <c r="E157" s="3">
        <f>IF($D$157&lt;=0,0,IF(ABS($E$73)&lt;0.000001,999,$D$157*$C$15/2/ABS($E$73)))</f>
        <v>7.8364720837823283</v>
      </c>
      <c r="F157" s="3">
        <f>IF($D$157&lt;=0,0,IF(ABS($F$73)&lt;0.000001,999,$D$157*$D$15/2/ABS($F$73)))</f>
        <v>9.6003248762376234</v>
      </c>
      <c r="G157" s="3">
        <v>1.5</v>
      </c>
      <c r="H157" s="9" t="str">
        <f>IF(MIN($E$157,$F$157)&gt;=$G$157-0.00001,"OK","NON OK")</f>
        <v>OK</v>
      </c>
    </row>
    <row r="158" spans="2:8" ht="15.75" x14ac:dyDescent="0.25">
      <c r="B158" s="7" t="s">
        <v>78</v>
      </c>
      <c r="C158" s="3">
        <v>1</v>
      </c>
      <c r="D158" s="10">
        <f>$E$39+$C$158*$F$53</f>
        <v>379.97437500000001</v>
      </c>
      <c r="E158" s="3">
        <f>IF($D$158&lt;=0,0,IF(ABS($E$74)&lt;0.000001,999,$D$158*$C$15/2/ABS($E$74)))</f>
        <v>1.3865837728901276</v>
      </c>
      <c r="F158" s="3">
        <f>IF($D$158&lt;=0,0,IF(ABS($F$74)&lt;0.000001,999,$D$158*$D$15/2/ABS($F$74)))</f>
        <v>51.464220412234042</v>
      </c>
      <c r="G158" s="3">
        <v>1.3</v>
      </c>
      <c r="H158" s="9" t="str">
        <f>IF(MIN($E$158,$F$158)&gt;=$G$158-0.00001,"OK","NON OK")</f>
        <v>OK</v>
      </c>
    </row>
    <row r="159" spans="2:8" ht="15.75" x14ac:dyDescent="0.25">
      <c r="B159" s="7" t="s">
        <v>80</v>
      </c>
      <c r="C159" s="3">
        <v>1</v>
      </c>
      <c r="D159" s="10">
        <f>$E$40+$C$159*$F$53</f>
        <v>362.69437499999998</v>
      </c>
      <c r="E159" s="3">
        <f>IF($D$159&lt;=0,0,IF(ABS($E$75)&lt;0.000001,999,$D$159*$C$15/2/ABS($E$75)))</f>
        <v>1.3235264480493631</v>
      </c>
      <c r="F159" s="3">
        <f>IF($D$159&lt;=0,0,IF(ABS($F$75)&lt;0.000001,999,$D$159*$D$15/2/ABS($F$75)))</f>
        <v>49.123794880319146</v>
      </c>
      <c r="G159" s="3">
        <v>1.3</v>
      </c>
      <c r="H159" s="9" t="str">
        <f>IF(MIN($E$159,$F$159)&gt;=$G$159-0.00001,"OK","NON OK")</f>
        <v>OK</v>
      </c>
    </row>
    <row r="160" spans="2:8" ht="15.75" x14ac:dyDescent="0.25">
      <c r="B160" s="7" t="s">
        <v>81</v>
      </c>
      <c r="C160" s="3">
        <v>1</v>
      </c>
      <c r="D160" s="10">
        <f>$E$41+$C$160*$F$53</f>
        <v>374.93437499999999</v>
      </c>
      <c r="E160" s="3">
        <f>IF($D$160&lt;=0,0,IF(ABS($E$76)&lt;0.000001,999,$D$160*$C$15/2/ABS($E$76)))</f>
        <v>3.5812963044973323</v>
      </c>
      <c r="F160" s="3">
        <f>IF($D$160&lt;=0,0,IF(ABS($F$76)&lt;0.000001,999,$D$160*$D$15/2/ABS($F$76)))</f>
        <v>15.234478889627658</v>
      </c>
      <c r="G160" s="3">
        <v>1.3</v>
      </c>
      <c r="H160" s="9" t="str">
        <f>IF(MIN($E$160,$F$160)&gt;=$G$160-0.00001,"OK","NON OK")</f>
        <v>OK</v>
      </c>
    </row>
    <row r="161" spans="2:11" ht="15.75" x14ac:dyDescent="0.25">
      <c r="B161" s="7" t="s">
        <v>82</v>
      </c>
      <c r="C161" s="3">
        <v>1</v>
      </c>
      <c r="D161" s="10">
        <f>$E$42+$C$161*$F$53</f>
        <v>317.33437500000002</v>
      </c>
      <c r="E161" s="3">
        <f>IF($D$161&lt;=0,0,IF(ABS($E$77)&lt;0.000001,999,$D$161*$C$15/2/ABS($E$77)))</f>
        <v>3.0311129100325114</v>
      </c>
      <c r="F161" s="3">
        <f>IF($D$161&lt;=0,0,IF(ABS($F$77)&lt;0.000001,999,$D$161*$D$15/2/ABS($F$77)))</f>
        <v>12.894053357712766</v>
      </c>
      <c r="G161" s="3">
        <v>1.3</v>
      </c>
      <c r="H161" s="9" t="str">
        <f>IF(MIN($E$161,$F$161)&gt;=$G$161-0.00001,"OK","NON OK")</f>
        <v>OK</v>
      </c>
    </row>
    <row r="162" spans="2:11" ht="15.75" x14ac:dyDescent="0.25">
      <c r="B162" s="7" t="s">
        <v>83</v>
      </c>
      <c r="C162" s="3">
        <v>1</v>
      </c>
      <c r="D162" s="10">
        <f>$E$43+$C$162*$F$53</f>
        <v>290.69437499999998</v>
      </c>
      <c r="E162" s="3">
        <f>IF($D$162&lt;=0,0,IF(ABS($E$78)&lt;0.000001,999,$D$162*$C$15/2/ABS($E$78)))</f>
        <v>1.3855545120112311</v>
      </c>
      <c r="F162" s="3">
        <f>IF($D$162&lt;=0,0,IF(ABS($F$78)&lt;0.000001,999,$D$162*$D$15/2/ABS($F$78)))</f>
        <v>39.372021830673752</v>
      </c>
      <c r="G162" s="3">
        <v>1.3</v>
      </c>
      <c r="H162" s="9" t="str">
        <f>IF(MIN($E$162,$F$162)&gt;=$G$162-0.00001,"OK","NON OK")</f>
        <v>OK</v>
      </c>
    </row>
    <row r="163" spans="2:11" ht="15.75" x14ac:dyDescent="0.25">
      <c r="B163" s="7" t="s">
        <v>84</v>
      </c>
      <c r="C163" s="3">
        <v>1</v>
      </c>
      <c r="D163" s="10">
        <f>$E$44+$C$163*$F$53</f>
        <v>307.97437500000001</v>
      </c>
      <c r="E163" s="3">
        <f>IF($D$163&lt;=0,0,IF(ABS($E$79)&lt;0.000001,999,$D$163*$C$15/2/ABS($E$79)))</f>
        <v>1.467917240796589</v>
      </c>
      <c r="F163" s="3">
        <f>IF($D$163&lt;=0,0,IF(ABS($F$79)&lt;0.000001,999,$D$163*$D$15/2/ABS($F$79)))</f>
        <v>41.712447362588655</v>
      </c>
      <c r="G163" s="3">
        <v>1.3</v>
      </c>
      <c r="H163" s="9" t="str">
        <f>IF(MIN($E$163,$F$163)&gt;=$G$163-0.00001,"OK","NON OK")</f>
        <v>OK</v>
      </c>
    </row>
    <row r="164" spans="2:11" ht="15.75" x14ac:dyDescent="0.25">
      <c r="B164" s="7" t="s">
        <v>85</v>
      </c>
      <c r="C164" s="3">
        <v>1</v>
      </c>
      <c r="D164" s="10">
        <f>$E$45+$C$164*$F$53</f>
        <v>295.734375</v>
      </c>
      <c r="E164" s="3">
        <f>IF($D$164&lt;=0,0,IF(ABS($E$80)&lt;0.000001,999,$D$164*$C$15/2/ABS($E$80)))</f>
        <v>7.3093680907571175</v>
      </c>
      <c r="F164" s="3">
        <f>IF($D$164&lt;=0,0,IF(ABS($F$80)&lt;0.000001,999,$D$164*$D$15/2/ABS($F$80)))</f>
        <v>12.016393783244679</v>
      </c>
      <c r="G164" s="3">
        <v>1.3</v>
      </c>
      <c r="H164" s="9" t="str">
        <f>IF(MIN($E$164,$F$164)&gt;=$G$164-0.00001,"OK","NON OK")</f>
        <v>OK</v>
      </c>
    </row>
    <row r="165" spans="2:11" ht="15.75" x14ac:dyDescent="0.25">
      <c r="B165" s="7" t="s">
        <v>86</v>
      </c>
      <c r="C165" s="3">
        <v>1</v>
      </c>
      <c r="D165" s="10">
        <f>$E$46+$C$165*$F$53</f>
        <v>353.33437500000002</v>
      </c>
      <c r="E165" s="3">
        <f>IF($D$165&lt;=0,0,IF(ABS($E$81)&lt;0.000001,999,$D$165*$C$15/2/ABS($E$81)))</f>
        <v>8.7330091606449525</v>
      </c>
      <c r="F165" s="3">
        <f>IF($D$165&lt;=0,0,IF(ABS($F$81)&lt;0.000001,999,$D$165*$D$15/2/ABS($F$81)))</f>
        <v>14.356819315159575</v>
      </c>
      <c r="G165" s="3">
        <v>1.3</v>
      </c>
      <c r="H165" s="9" t="str">
        <f>IF(MIN($E$165,$F$165)&gt;=$G$165-0.00001,"OK","NON OK")</f>
        <v>OK</v>
      </c>
    </row>
    <row r="167" spans="2:11" ht="20.100000000000001" customHeight="1" x14ac:dyDescent="0.25">
      <c r="B167" s="28" t="s">
        <v>126</v>
      </c>
      <c r="C167" s="29"/>
      <c r="D167" s="29"/>
      <c r="E167" s="29"/>
      <c r="F167" s="29"/>
      <c r="G167" s="29"/>
      <c r="H167" s="29"/>
      <c r="I167" s="29"/>
      <c r="J167" s="29"/>
      <c r="K167" s="29"/>
    </row>
    <row r="168" spans="2:11" ht="30" customHeight="1" x14ac:dyDescent="0.25">
      <c r="B168" s="20" t="s">
        <v>127</v>
      </c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2:11" ht="32.1" customHeight="1" x14ac:dyDescent="0.25">
      <c r="B169" s="2" t="s">
        <v>51</v>
      </c>
      <c r="C169" s="2" t="s">
        <v>128</v>
      </c>
      <c r="D169" s="2" t="s">
        <v>129</v>
      </c>
      <c r="E169" s="2" t="s">
        <v>130</v>
      </c>
      <c r="F169" s="2" t="s">
        <v>131</v>
      </c>
      <c r="G169" s="2" t="s">
        <v>132</v>
      </c>
      <c r="H169" s="2" t="s">
        <v>133</v>
      </c>
      <c r="I169" s="2" t="s">
        <v>125</v>
      </c>
      <c r="J169" s="2" t="s">
        <v>40</v>
      </c>
    </row>
    <row r="170" spans="2:11" ht="15.75" x14ac:dyDescent="0.25">
      <c r="B170" s="7" t="s">
        <v>59</v>
      </c>
      <c r="C170" s="3">
        <f>SQRT($H$23^2+$I$23^2)</f>
        <v>25.2</v>
      </c>
      <c r="D170" s="10">
        <f>$E$23+1.35*$F$53</f>
        <v>485.55140625000001</v>
      </c>
      <c r="E170" s="5">
        <f>IF($D$170&lt;=0,0,IF(ABS($E$58)/$D$170&lt;=$C$15/6+0.000001,$C$15,MIN(3*($C$15/2-ABS($E$58)/$D$170),$C$15)))</f>
        <v>2.75</v>
      </c>
      <c r="F170" s="5">
        <f>IF($D$170&lt;=0,0,IF(ABS($F$58)/$D$170&lt;=$D$15/6+0.000001,$D$15,MIN(3*($D$15/2-ABS($F$58)/$D$170),$D$15)))</f>
        <v>2.75</v>
      </c>
      <c r="G170" s="3">
        <f>MAX($D$170,0)*TAN(RADIANS($J$6))+$K$6*$E$170*$F$170</f>
        <v>258.17226225961929</v>
      </c>
      <c r="H170" s="3">
        <f>$G$170/$C$170</f>
        <v>10.244931042048385</v>
      </c>
      <c r="I170" s="3">
        <v>1.5</v>
      </c>
      <c r="J170" s="9" t="str">
        <f>IF($H$170&gt;=$I$170-0.00001,"OK","NON OK")</f>
        <v>OK</v>
      </c>
    </row>
    <row r="171" spans="2:11" ht="15.75" x14ac:dyDescent="0.25">
      <c r="B171" s="7" t="s">
        <v>62</v>
      </c>
      <c r="C171" s="3">
        <f>SQRT($H$24^2+$I$24^2)</f>
        <v>28.2</v>
      </c>
      <c r="D171" s="10">
        <f>$E$24+1.35*$F$53</f>
        <v>500.55140625000001</v>
      </c>
      <c r="E171" s="5">
        <f>IF($D$171&lt;=0,0,IF(ABS($E$59)/$D$171&lt;=$C$15/6+0.000001,$C$15,MIN(3*($C$15/2-ABS($E$59)/$D$171),$C$15)))</f>
        <v>2.75</v>
      </c>
      <c r="F171" s="5">
        <f>IF($D$171&lt;=0,0,IF(ABS($F$59)/$D$171&lt;=$D$15/6+0.000001,$D$15,MIN(3*($D$15/2-ABS($F$59)/$D$171),$D$15)))</f>
        <v>2.75</v>
      </c>
      <c r="G171" s="3">
        <f>MAX($D$171,0)*TAN(RADIANS($J$6))+$K$6*$E$171*$F$171</f>
        <v>266.1479037345415</v>
      </c>
      <c r="H171" s="3">
        <f>$G$171/$C$171</f>
        <v>9.4378689267567903</v>
      </c>
      <c r="I171" s="3">
        <v>1.5</v>
      </c>
      <c r="J171" s="9" t="str">
        <f>IF($H$171&gt;=$I$171-0.00001,"OK","NON OK")</f>
        <v>OK</v>
      </c>
    </row>
    <row r="172" spans="2:11" ht="15.75" x14ac:dyDescent="0.25">
      <c r="B172" s="7" t="s">
        <v>63</v>
      </c>
      <c r="C172" s="3">
        <f>SQRT($H$25^2+$I$25^2)</f>
        <v>25.8</v>
      </c>
      <c r="D172" s="10">
        <f>$E$25+1.35*$F$53</f>
        <v>298.05140625000001</v>
      </c>
      <c r="E172" s="5">
        <f>IF($D$172&lt;=0,0,IF(ABS($E$60)/$D$172&lt;=$C$15/6+0.000001,$C$15,MIN(3*($C$15/2-ABS($E$60)/$D$172),$C$15)))</f>
        <v>2.75</v>
      </c>
      <c r="F172" s="5">
        <f>IF($D$172&lt;=0,0,IF(ABS($F$60)/$D$172&lt;=$D$15/6+0.000001,$D$15,MIN(3*($D$15/2-ABS($F$60)/$D$172),$D$15)))</f>
        <v>2.75</v>
      </c>
      <c r="G172" s="3">
        <f>MAX($D$172,0)*TAN(RADIANS($J$6))+$K$6*$E$172*$F$172</f>
        <v>158.47674382309202</v>
      </c>
      <c r="H172" s="3">
        <f>$G$172/$C$172</f>
        <v>6.1425094505074425</v>
      </c>
      <c r="I172" s="3">
        <v>1.5</v>
      </c>
      <c r="J172" s="9" t="str">
        <f>IF($H$172&gt;=$I$172-0.00001,"OK","NON OK")</f>
        <v>OK</v>
      </c>
    </row>
    <row r="173" spans="2:11" ht="15.75" x14ac:dyDescent="0.25">
      <c r="B173" s="7" t="s">
        <v>64</v>
      </c>
      <c r="C173" s="3">
        <f>SQRT($H$26^2+$I$26^2)</f>
        <v>27.725259241348855</v>
      </c>
      <c r="D173" s="10">
        <f>$E$26+1.35*$F$53</f>
        <v>380.55140625000001</v>
      </c>
      <c r="E173" s="5">
        <f>IF($D$173&lt;=0,0,IF(ABS($E$61)/$D$173&lt;=$C$15/6+0.000001,$C$15,MIN(3*($C$15/2-ABS($E$61)/$D$173),$C$15)))</f>
        <v>2.75</v>
      </c>
      <c r="F173" s="5">
        <f>IF($D$173&lt;=0,0,IF(ABS($F$61)/$D$173&lt;=$D$15/6+0.000001,$D$15,MIN(3*($D$15/2-ABS($F$61)/$D$173),$D$15)))</f>
        <v>2.75</v>
      </c>
      <c r="G173" s="3">
        <f>MAX($D$173,0)*TAN(RADIANS($J$6))+$K$6*$E$173*$F$173</f>
        <v>202.34277193516402</v>
      </c>
      <c r="H173" s="3">
        <f>$G$173/$C$173</f>
        <v>7.2981381408832551</v>
      </c>
      <c r="I173" s="3">
        <v>1.5</v>
      </c>
      <c r="J173" s="9" t="str">
        <f>IF($H$173&gt;=$I$173-0.00001,"OK","NON OK")</f>
        <v>OK</v>
      </c>
    </row>
    <row r="174" spans="2:11" ht="15.75" x14ac:dyDescent="0.25">
      <c r="B174" s="7" t="s">
        <v>65</v>
      </c>
      <c r="C174" s="3">
        <f>SQRT($H$27^2+$I$27^2)</f>
        <v>30</v>
      </c>
      <c r="D174" s="10">
        <f>$E$27+1*$F$53</f>
        <v>183.83437499999999</v>
      </c>
      <c r="E174" s="5">
        <f>IF($D$174&lt;=0,0,IF(ABS($E$62)/$D$174&lt;=$C$15/6+0.000001,$C$15,MIN(3*($C$15/2-ABS($E$62)/$D$174),$C$15)))</f>
        <v>2.1177584272527921</v>
      </c>
      <c r="F174" s="5">
        <f>IF($D$174&lt;=0,0,IF(ABS($F$62)/$D$174&lt;=$D$15/6+0.000001,$D$15,MIN(3*($D$15/2-ABS($F$62)/$D$174),$D$15)))</f>
        <v>2.75</v>
      </c>
      <c r="G174" s="3">
        <f>MAX($D$174,0)*TAN(RADIANS($J$6))+$K$6*$E$174*$F$174</f>
        <v>97.746471051093152</v>
      </c>
      <c r="H174" s="3">
        <f>$G$174/$C$174</f>
        <v>3.2582157017031053</v>
      </c>
      <c r="I174" s="3">
        <v>1.5</v>
      </c>
      <c r="J174" s="9" t="str">
        <f>IF($H$174&gt;=$I$174-0.00001,"OK","NON OK")</f>
        <v>OK</v>
      </c>
    </row>
    <row r="175" spans="2:11" ht="15.75" x14ac:dyDescent="0.25">
      <c r="B175" s="7" t="s">
        <v>66</v>
      </c>
      <c r="C175" s="3">
        <f>SQRT($H$28^2+$I$28^2)</f>
        <v>25.5</v>
      </c>
      <c r="D175" s="10">
        <f>$E$28+1*$F$53</f>
        <v>266.33437500000002</v>
      </c>
      <c r="E175" s="5">
        <f>IF($D$175&lt;=0,0,IF(ABS($E$63)/$D$175&lt;=$C$15/6+0.000001,$C$15,MIN(3*($C$15/2-ABS($E$63)/$D$175),$C$15)))</f>
        <v>2.75</v>
      </c>
      <c r="F175" s="5">
        <f>IF($D$175&lt;=0,0,IF(ABS($F$63)/$D$175&lt;=$D$15/6+0.000001,$D$15,MIN(3*($D$15/2-ABS($F$63)/$D$175),$D$15)))</f>
        <v>2.75</v>
      </c>
      <c r="G175" s="3">
        <f>MAX($D$175,0)*TAN(RADIANS($J$6))+$K$6*$E$175*$F$175</f>
        <v>141.61249916316518</v>
      </c>
      <c r="H175" s="3">
        <f>$G$175/$C$175</f>
        <v>5.5534313397319677</v>
      </c>
      <c r="I175" s="3">
        <v>1.5</v>
      </c>
      <c r="J175" s="9" t="str">
        <f>IF($H$175&gt;=$I$175-0.00001,"OK","NON OK")</f>
        <v>OK</v>
      </c>
    </row>
    <row r="176" spans="2:11" ht="15.75" x14ac:dyDescent="0.25">
      <c r="B176" s="7" t="s">
        <v>67</v>
      </c>
      <c r="C176" s="3">
        <f>SQRT($H$29^2+$I$29^2)</f>
        <v>13.5</v>
      </c>
      <c r="D176" s="10">
        <f>$E$29+1.35*$F$53</f>
        <v>352.80140625000001</v>
      </c>
      <c r="E176" s="5">
        <f>IF($D$176&lt;=0,0,IF(ABS($E$64)/$D$176&lt;=$C$15/6+0.000001,$C$15,MIN(3*($C$15/2-ABS($E$64)/$D$176),$C$15)))</f>
        <v>2.75</v>
      </c>
      <c r="F176" s="5">
        <f>IF($D$176&lt;=0,0,IF(ABS($F$64)/$D$176&lt;=$D$15/6+0.000001,$D$15,MIN(3*($D$15/2-ABS($F$64)/$D$176),$D$15)))</f>
        <v>2.75</v>
      </c>
      <c r="G176" s="3">
        <f>MAX($D$176,0)*TAN(RADIANS($J$6))+$K$6*$E$176*$F$176</f>
        <v>187.587835206558</v>
      </c>
      <c r="H176" s="3">
        <f>$G$176/$C$176</f>
        <v>13.895395200485778</v>
      </c>
      <c r="I176" s="3">
        <v>1.5</v>
      </c>
      <c r="J176" s="9" t="str">
        <f>IF($H$176&gt;=$I$176-0.00001,"OK","NON OK")</f>
        <v>OK</v>
      </c>
    </row>
    <row r="177" spans="2:10" ht="15.75" x14ac:dyDescent="0.25">
      <c r="B177" s="7" t="s">
        <v>68</v>
      </c>
      <c r="C177" s="3">
        <f>SQRT($H$30^2+$I$30^2)</f>
        <v>31.63151118742195</v>
      </c>
      <c r="D177" s="10">
        <f>$E$30+1.35*$F$53</f>
        <v>427.05140625000001</v>
      </c>
      <c r="E177" s="5">
        <f>IF($D$177&lt;=0,0,IF(ABS($E$65)/$D$177&lt;=$C$15/6+0.000001,$C$15,MIN(3*($C$15/2-ABS($E$65)/$D$177),$C$15)))</f>
        <v>2.75</v>
      </c>
      <c r="F177" s="5">
        <f>IF($D$177&lt;=0,0,IF(ABS($F$65)/$D$177&lt;=$D$15/6+0.000001,$D$15,MIN(3*($D$15/2-ABS($F$65)/$D$177),$D$15)))</f>
        <v>2.75</v>
      </c>
      <c r="G177" s="3">
        <f>MAX($D$177,0)*TAN(RADIANS($J$6))+$K$6*$E$177*$F$177</f>
        <v>227.06726050742279</v>
      </c>
      <c r="H177" s="3">
        <f>$G$177/$C$177</f>
        <v>7.1785144617976551</v>
      </c>
      <c r="I177" s="3">
        <v>1.5</v>
      </c>
      <c r="J177" s="9" t="str">
        <f>IF($H$177&gt;=$I$177-0.00001,"OK","NON OK")</f>
        <v>OK</v>
      </c>
    </row>
    <row r="178" spans="2:10" ht="15.75" x14ac:dyDescent="0.25">
      <c r="B178" s="7" t="s">
        <v>69</v>
      </c>
      <c r="C178" s="3">
        <f>SQRT($H$31^2+$I$31^2)</f>
        <v>10.8</v>
      </c>
      <c r="D178" s="10">
        <f>$E$31+1.35*$F$53</f>
        <v>366.30140625000001</v>
      </c>
      <c r="E178" s="5">
        <f>IF($D$178&lt;=0,0,IF(ABS($E$66)/$D$178&lt;=$C$15/6+0.000001,$C$15,MIN(3*($C$15/2-ABS($E$66)/$D$178),$C$15)))</f>
        <v>2.75</v>
      </c>
      <c r="F178" s="5">
        <f>IF($D$178&lt;=0,0,IF(ABS($F$66)/$D$178&lt;=$D$15/6+0.000001,$D$15,MIN(3*($D$15/2-ABS($F$66)/$D$178),$D$15)))</f>
        <v>2.75</v>
      </c>
      <c r="G178" s="3">
        <f>MAX($D$178,0)*TAN(RADIANS($J$6))+$K$6*$E$178*$F$178</f>
        <v>194.76591253398794</v>
      </c>
      <c r="H178" s="3">
        <f>$G$178/$C$178</f>
        <v>18.033880790184067</v>
      </c>
      <c r="I178" s="3">
        <v>1.5</v>
      </c>
      <c r="J178" s="9" t="str">
        <f>IF($H$178&gt;=$I$178-0.00001,"OK","NON OK")</f>
        <v>OK</v>
      </c>
    </row>
    <row r="179" spans="2:10" ht="15.75" x14ac:dyDescent="0.25">
      <c r="B179" s="7" t="s">
        <v>70</v>
      </c>
      <c r="C179" s="3">
        <f>SQRT($H$32^2+$I$32^2)</f>
        <v>33.75</v>
      </c>
      <c r="D179" s="10">
        <f>$E$32+1.35*$F$53</f>
        <v>440.55140625000001</v>
      </c>
      <c r="E179" s="5">
        <f>IF($D$179&lt;=0,0,IF(ABS($E$67)/$D$179&lt;=$C$15/6+0.000001,$C$15,MIN(3*($C$15/2-ABS($E$67)/$D$179),$C$15)))</f>
        <v>2.75</v>
      </c>
      <c r="F179" s="5">
        <f>IF($D$179&lt;=0,0,IF(ABS($F$67)/$D$179&lt;=$D$15/6+0.000001,$D$15,MIN(3*($D$15/2-ABS($F$67)/$D$179),$D$15)))</f>
        <v>2.75</v>
      </c>
      <c r="G179" s="3">
        <f>MAX($D$179,0)*TAN(RADIANS($J$6))+$K$6*$E$179*$F$179</f>
        <v>234.24533783485276</v>
      </c>
      <c r="H179" s="3">
        <f>$G$179/$C$179</f>
        <v>6.9406026025141561</v>
      </c>
      <c r="I179" s="3">
        <v>1.5</v>
      </c>
      <c r="J179" s="9" t="str">
        <f>IF($H$179&gt;=$I$179-0.00001,"OK","NON OK")</f>
        <v>OK</v>
      </c>
    </row>
    <row r="180" spans="2:10" ht="15.75" x14ac:dyDescent="0.25">
      <c r="B180" s="7" t="s">
        <v>71</v>
      </c>
      <c r="C180" s="3">
        <f>SQRT($H$33^2+$I$33^2)</f>
        <v>18</v>
      </c>
      <c r="D180" s="10">
        <f>$E$33+1*$F$53</f>
        <v>356.33437500000002</v>
      </c>
      <c r="E180" s="5">
        <f>IF($D$180&lt;=0,0,IF(ABS($E$68)/$D$180&lt;=$C$15/6+0.000001,$C$15,MIN(3*($C$15/2-ABS($E$68)/$D$180),$C$15)))</f>
        <v>2.75</v>
      </c>
      <c r="F180" s="5">
        <f>IF($D$180&lt;=0,0,IF(ABS($F$68)/$D$180&lt;=$D$15/6+0.000001,$D$15,MIN(3*($D$15/2-ABS($F$68)/$D$180),$D$15)))</f>
        <v>2.75</v>
      </c>
      <c r="G180" s="3">
        <f>MAX($D$180,0)*TAN(RADIANS($J$6))+$K$6*$E$180*$F$180</f>
        <v>189.46634801269826</v>
      </c>
      <c r="H180" s="3">
        <f>$G$180/$C$180</f>
        <v>10.525908222927681</v>
      </c>
      <c r="I180" s="3">
        <v>1.5</v>
      </c>
      <c r="J180" s="9" t="str">
        <f>IF($H$180&gt;=$I$180-0.00001,"OK","NON OK")</f>
        <v>OK</v>
      </c>
    </row>
    <row r="181" spans="2:10" ht="15.75" x14ac:dyDescent="0.25">
      <c r="B181" s="7" t="s">
        <v>73</v>
      </c>
      <c r="C181" s="3">
        <f>SQRT($H$34^2+$I$34^2)</f>
        <v>20</v>
      </c>
      <c r="D181" s="10">
        <f>$E$34+1*$F$53</f>
        <v>366.33437500000002</v>
      </c>
      <c r="E181" s="5">
        <f>IF($D$181&lt;=0,0,IF(ABS($E$69)/$D$181&lt;=$C$15/6+0.000001,$C$15,MIN(3*($C$15/2-ABS($E$69)/$D$181),$C$15)))</f>
        <v>2.75</v>
      </c>
      <c r="F181" s="5">
        <f>IF($D$181&lt;=0,0,IF(ABS($F$69)/$D$181&lt;=$D$15/6+0.000001,$D$15,MIN(3*($D$15/2-ABS($F$69)/$D$181),$D$15)))</f>
        <v>2.75</v>
      </c>
      <c r="G181" s="3">
        <f>MAX($D$181,0)*TAN(RADIANS($J$6))+$K$6*$E$181*$F$181</f>
        <v>194.78344232931306</v>
      </c>
      <c r="H181" s="3">
        <f>$G$181/$C$181</f>
        <v>9.7391721164656531</v>
      </c>
      <c r="I181" s="3">
        <v>1.5</v>
      </c>
      <c r="J181" s="9" t="str">
        <f>IF($H$181&gt;=$I$181-0.00001,"OK","NON OK")</f>
        <v>OK</v>
      </c>
    </row>
    <row r="182" spans="2:10" ht="15.75" x14ac:dyDescent="0.25">
      <c r="B182" s="7" t="s">
        <v>74</v>
      </c>
      <c r="C182" s="3">
        <f>SQRT($H$35^2+$I$35^2)</f>
        <v>16</v>
      </c>
      <c r="D182" s="10">
        <f>$E$35+1*$F$53</f>
        <v>231.33437499999999</v>
      </c>
      <c r="E182" s="5">
        <f>IF($D$182&lt;=0,0,IF(ABS($E$70)/$D$182&lt;=$C$15/6+0.000001,$C$15,MIN(3*($C$15/2-ABS($E$70)/$D$182),$C$15)))</f>
        <v>2.75</v>
      </c>
      <c r="F182" s="5">
        <f>IF($D$182&lt;=0,0,IF(ABS($F$70)/$D$182&lt;=$D$15/6+0.000001,$D$15,MIN(3*($D$15/2-ABS($F$70)/$D$182),$D$15)))</f>
        <v>2.75</v>
      </c>
      <c r="G182" s="3">
        <f>MAX($D$182,0)*TAN(RADIANS($J$6))+$K$6*$E$182*$F$182</f>
        <v>123.0026690550134</v>
      </c>
      <c r="H182" s="3">
        <f>$G$182/$C$182</f>
        <v>7.6876668159383375</v>
      </c>
      <c r="I182" s="3">
        <v>1.5</v>
      </c>
      <c r="J182" s="9" t="str">
        <f>IF($H$182&gt;=$I$182-0.00001,"OK","NON OK")</f>
        <v>OK</v>
      </c>
    </row>
    <row r="183" spans="2:10" ht="15.75" x14ac:dyDescent="0.25">
      <c r="B183" s="7" t="s">
        <v>75</v>
      </c>
      <c r="C183" s="3">
        <f>SQRT($H$36^2+$I$36^2)</f>
        <v>19.209372712298546</v>
      </c>
      <c r="D183" s="10">
        <f>$E$36+1*$F$53</f>
        <v>286.33437500000002</v>
      </c>
      <c r="E183" s="5">
        <f>IF($D$183&lt;=0,0,IF(ABS($E$71)/$D$183&lt;=$C$15/6+0.000001,$C$15,MIN(3*($C$15/2-ABS($E$71)/$D$183),$C$15)))</f>
        <v>2.75</v>
      </c>
      <c r="F183" s="5">
        <f>IF($D$183&lt;=0,0,IF(ABS($F$71)/$D$183&lt;=$D$15/6+0.000001,$D$15,MIN(3*($D$15/2-ABS($F$71)/$D$183),$D$15)))</f>
        <v>2.75</v>
      </c>
      <c r="G183" s="3">
        <f>MAX($D$183,0)*TAN(RADIANS($J$6))+$K$6*$E$183*$F$183</f>
        <v>152.24668779639475</v>
      </c>
      <c r="H183" s="3">
        <f>$G$183/$C$183</f>
        <v>7.9256459894143676</v>
      </c>
      <c r="I183" s="3">
        <v>1.5</v>
      </c>
      <c r="J183" s="9" t="str">
        <f>IF($H$183&gt;=$I$183-0.00001,"OK","NON OK")</f>
        <v>OK</v>
      </c>
    </row>
    <row r="184" spans="2:10" ht="15.75" x14ac:dyDescent="0.25">
      <c r="B184" s="7" t="s">
        <v>76</v>
      </c>
      <c r="C184" s="3">
        <f>SQRT($H$37^2+$I$37^2)</f>
        <v>7.8</v>
      </c>
      <c r="D184" s="10">
        <f>$E$37+1*$F$53</f>
        <v>267.83437500000002</v>
      </c>
      <c r="E184" s="5">
        <f>IF($D$184&lt;=0,0,IF(ABS($E$72)/$D$184&lt;=$C$15/6+0.000001,$C$15,MIN(3*($C$15/2-ABS($E$72)/$D$184),$C$15)))</f>
        <v>2.75</v>
      </c>
      <c r="F184" s="5">
        <f>IF($D$184&lt;=0,0,IF(ABS($F$72)/$D$184&lt;=$D$15/6+0.000001,$D$15,MIN(3*($D$15/2-ABS($F$72)/$D$184),$D$15)))</f>
        <v>2.75</v>
      </c>
      <c r="G184" s="3">
        <f>MAX($D$184,0)*TAN(RADIANS($J$6))+$K$6*$E$184*$F$184</f>
        <v>142.41006331065739</v>
      </c>
      <c r="H184" s="3">
        <f>$G$184/$C$184</f>
        <v>18.257700424443257</v>
      </c>
      <c r="I184" s="3">
        <v>1.5</v>
      </c>
      <c r="J184" s="9" t="str">
        <f>IF($H$184&gt;=$I$184-0.00001,"OK","NON OK")</f>
        <v>OK</v>
      </c>
    </row>
    <row r="185" spans="2:10" ht="15.75" x14ac:dyDescent="0.25">
      <c r="B185" s="7" t="s">
        <v>77</v>
      </c>
      <c r="C185" s="3">
        <f>SQRT($H$38^2+$I$38^2)</f>
        <v>22.022942582679544</v>
      </c>
      <c r="D185" s="10">
        <f>$E$38+1*$F$53</f>
        <v>317.33437500000002</v>
      </c>
      <c r="E185" s="5">
        <f>IF($D$185&lt;=0,0,IF(ABS($E$73)/$D$185&lt;=$C$15/6+0.000001,$C$15,MIN(3*($C$15/2-ABS($E$73)/$D$185),$C$15)))</f>
        <v>2.75</v>
      </c>
      <c r="F185" s="5">
        <f>IF($D$185&lt;=0,0,IF(ABS($F$73)/$D$185&lt;=$D$15/6+0.000001,$D$15,MIN(3*($D$15/2-ABS($F$73)/$D$185),$D$15)))</f>
        <v>2.75</v>
      </c>
      <c r="G185" s="3">
        <f>MAX($D$185,0)*TAN(RADIANS($J$6))+$K$6*$E$185*$F$185</f>
        <v>168.72968017790058</v>
      </c>
      <c r="H185" s="3">
        <f>$G$185/$C$185</f>
        <v>7.6615411198775023</v>
      </c>
      <c r="I185" s="3">
        <v>1.5</v>
      </c>
      <c r="J185" s="9" t="str">
        <f>IF($H$185&gt;=$I$185-0.00001,"OK","NON OK")</f>
        <v>OK</v>
      </c>
    </row>
    <row r="186" spans="2:10" ht="15.75" x14ac:dyDescent="0.25">
      <c r="B186" s="7" t="s">
        <v>78</v>
      </c>
      <c r="C186" s="3">
        <f>SQRT($H$39^2+$I$39^2)</f>
        <v>95.01007104512658</v>
      </c>
      <c r="D186" s="10">
        <f>$E$39+1*$F$53</f>
        <v>379.97437500000001</v>
      </c>
      <c r="E186" s="5">
        <f>IF($D$186&lt;=0,0,IF(ABS($E$74)/$D$186&lt;=$C$15/6+0.000001,$C$15,MIN(3*($C$15/2-ABS($E$74)/$D$186),$C$15)))</f>
        <v>1.1500625453361168</v>
      </c>
      <c r="F186" s="5">
        <f>IF($D$186&lt;=0,0,IF(ABS($F$74)/$D$186&lt;=$D$15/6+0.000001,$D$15,MIN(3*($D$15/2-ABS($F$74)/$D$186),$D$15)))</f>
        <v>2.75</v>
      </c>
      <c r="G186" s="3">
        <f>MAX($D$186,0)*TAN(RADIANS($J$6))+$K$6*$E$186*$F$186</f>
        <v>202.03595897717562</v>
      </c>
      <c r="H186" s="3">
        <f>$G$186/$C$186</f>
        <v>2.1264688759280621</v>
      </c>
      <c r="I186" s="3">
        <v>1.25</v>
      </c>
      <c r="J186" s="9" t="str">
        <f>IF($H$186&gt;=$I$186-0.00001,"OK","NON OK")</f>
        <v>OK</v>
      </c>
    </row>
    <row r="187" spans="2:10" ht="15.75" x14ac:dyDescent="0.25">
      <c r="B187" s="7" t="s">
        <v>80</v>
      </c>
      <c r="C187" s="3">
        <f>SQRT($H$40^2+$I$40^2)</f>
        <v>95.01007104512658</v>
      </c>
      <c r="D187" s="10">
        <f>$E$40+1*$F$53</f>
        <v>362.69437499999998</v>
      </c>
      <c r="E187" s="5">
        <f>IF($D$187&lt;=0,0,IF(ABS($E$75)/$D$187&lt;=$C$15/6+0.000001,$C$15,MIN(3*($C$15/2-ABS($E$75)/$D$187),$C$15)))</f>
        <v>1.0083263543169096</v>
      </c>
      <c r="F187" s="5">
        <f>IF($D$187&lt;=0,0,IF(ABS($F$75)/$D$187&lt;=$D$15/6+0.000001,$D$15,MIN(3*($D$15/2-ABS($F$75)/$D$187),$D$15)))</f>
        <v>2.75</v>
      </c>
      <c r="G187" s="3">
        <f>MAX($D$187,0)*TAN(RADIANS($J$6))+$K$6*$E$187*$F$187</f>
        <v>192.84801999806524</v>
      </c>
      <c r="H187" s="3">
        <f>$G$187/$C$187</f>
        <v>2.0297639805623229</v>
      </c>
      <c r="I187" s="3">
        <v>1.25</v>
      </c>
      <c r="J187" s="9" t="str">
        <f>IF($H$187&gt;=$I$187-0.00001,"OK","NON OK")</f>
        <v>OK</v>
      </c>
    </row>
    <row r="188" spans="2:10" ht="15.75" x14ac:dyDescent="0.25">
      <c r="B188" s="7" t="s">
        <v>81</v>
      </c>
      <c r="C188" s="3">
        <f>SQRT($H$41^2+$I$41^2)</f>
        <v>74.898555393278443</v>
      </c>
      <c r="D188" s="10">
        <f>$E$41+1*$F$53</f>
        <v>374.93437499999999</v>
      </c>
      <c r="E188" s="5">
        <f>IF($D$188&lt;=0,0,IF(ABS($E$76)/$D$188&lt;=$C$15/6+0.000001,$C$15,MIN(3*($C$15/2-ABS($E$76)/$D$188),$C$15)))</f>
        <v>2.75</v>
      </c>
      <c r="F188" s="5">
        <f>IF($D$188&lt;=0,0,IF(ABS($F$76)/$D$188&lt;=$D$15/6+0.000001,$D$15,MIN(3*($D$15/2-ABS($F$76)/$D$188),$D$15)))</f>
        <v>2.75</v>
      </c>
      <c r="G188" s="3">
        <f>MAX($D$188,0)*TAN(RADIANS($J$6))+$K$6*$E$188*$F$188</f>
        <v>199.35614344160174</v>
      </c>
      <c r="H188" s="3">
        <f>$G$188/$C$188</f>
        <v>2.6616820897922473</v>
      </c>
      <c r="I188" s="3">
        <v>1.25</v>
      </c>
      <c r="J188" s="9" t="str">
        <f>IF($H$188&gt;=$I$188-0.00001,"OK","NON OK")</f>
        <v>OK</v>
      </c>
    </row>
    <row r="189" spans="2:10" ht="15.75" x14ac:dyDescent="0.25">
      <c r="B189" s="7" t="s">
        <v>82</v>
      </c>
      <c r="C189" s="3">
        <f>SQRT($H$42^2+$I$42^2)</f>
        <v>74.898555393278443</v>
      </c>
      <c r="D189" s="10">
        <f>$E$42+1*$F$53</f>
        <v>317.33437500000002</v>
      </c>
      <c r="E189" s="5">
        <f>IF($D$189&lt;=0,0,IF(ABS($E$77)/$D$189&lt;=$C$15/6+0.000001,$C$15,MIN(3*($C$15/2-ABS($E$77)/$D$189),$C$15)))</f>
        <v>2.75</v>
      </c>
      <c r="F189" s="5">
        <f>IF($D$189&lt;=0,0,IF(ABS($F$77)/$D$189&lt;=$D$15/6+0.000001,$D$15,MIN(3*($D$15/2-ABS($F$77)/$D$189),$D$15)))</f>
        <v>2.75</v>
      </c>
      <c r="G189" s="3">
        <f>MAX($D$189,0)*TAN(RADIANS($J$6))+$K$6*$E$189*$F$189</f>
        <v>168.72968017790058</v>
      </c>
      <c r="H189" s="3">
        <f>$G$189/$C$189</f>
        <v>2.2527761622628404</v>
      </c>
      <c r="I189" s="3">
        <v>1.25</v>
      </c>
      <c r="J189" s="9" t="str">
        <f>IF($H$189&gt;=$I$189-0.00001,"OK","NON OK")</f>
        <v>OK</v>
      </c>
    </row>
    <row r="190" spans="2:10" ht="15.75" x14ac:dyDescent="0.25">
      <c r="B190" s="7" t="s">
        <v>83</v>
      </c>
      <c r="C190" s="3">
        <f>SQRT($H$43^2+$I$43^2)</f>
        <v>68.228099783007295</v>
      </c>
      <c r="D190" s="10">
        <f>$E$43+1*$F$53</f>
        <v>290.69437499999998</v>
      </c>
      <c r="E190" s="5">
        <f>IF($D$190&lt;=0,0,IF(ABS($E$78)/$D$190&lt;=$C$15/6+0.000001,$C$15,MIN(3*($C$15/2-ABS($E$78)/$D$190),$C$15)))</f>
        <v>1.1478526093771162</v>
      </c>
      <c r="F190" s="5">
        <f>IF($D$190&lt;=0,0,IF(ABS($F$78)/$D$190&lt;=$D$15/6+0.000001,$D$15,MIN(3*($D$15/2-ABS($F$78)/$D$190),$D$15)))</f>
        <v>2.75</v>
      </c>
      <c r="G190" s="3">
        <f>MAX($D$190,0)*TAN(RADIANS($J$6))+$K$6*$E$190*$F$190</f>
        <v>154.56494091843877</v>
      </c>
      <c r="H190" s="3">
        <f>$G$190/$C$190</f>
        <v>2.2654147105080931</v>
      </c>
      <c r="I190" s="3">
        <v>1.25</v>
      </c>
      <c r="J190" s="9" t="str">
        <f>IF($H$190&gt;=$I$190-0.00001,"OK","NON OK")</f>
        <v>OK</v>
      </c>
    </row>
    <row r="191" spans="2:10" ht="15.75" x14ac:dyDescent="0.25">
      <c r="B191" s="7" t="s">
        <v>84</v>
      </c>
      <c r="C191" s="3">
        <f>SQRT($H$44^2+$I$44^2)</f>
        <v>68.228099783007295</v>
      </c>
      <c r="D191" s="10">
        <f>$E$44+1*$F$53</f>
        <v>307.97437500000001</v>
      </c>
      <c r="E191" s="5">
        <f>IF($D$191&lt;=0,0,IF(ABS($E$79)/$D$191&lt;=$C$15/6+0.000001,$C$15,MIN(3*($C$15/2-ABS($E$79)/$D$191),$C$15)))</f>
        <v>1.3148960749575349</v>
      </c>
      <c r="F191" s="5">
        <f>IF($D$191&lt;=0,0,IF(ABS($F$79)/$D$191&lt;=$D$15/6+0.000001,$D$15,MIN(3*($D$15/2-ABS($F$79)/$D$191),$D$15)))</f>
        <v>2.75</v>
      </c>
      <c r="G191" s="3">
        <f>MAX($D$191,0)*TAN(RADIANS($J$6))+$K$6*$E$191*$F$191</f>
        <v>163.75287989754915</v>
      </c>
      <c r="H191" s="3">
        <f>$G$191/$C$191</f>
        <v>2.4000797386758381</v>
      </c>
      <c r="I191" s="3">
        <v>1.25</v>
      </c>
      <c r="J191" s="9" t="str">
        <f>IF($H$191&gt;=$I$191-0.00001,"OK","NON OK")</f>
        <v>OK</v>
      </c>
    </row>
    <row r="192" spans="2:10" ht="15.75" x14ac:dyDescent="0.25">
      <c r="B192" s="7" t="s">
        <v>85</v>
      </c>
      <c r="C192" s="3">
        <f>SQRT($H$45^2+$I$45^2)</f>
        <v>65.560976197735187</v>
      </c>
      <c r="D192" s="10">
        <f>$E$45+1*$F$53</f>
        <v>295.734375</v>
      </c>
      <c r="E192" s="5">
        <f>IF($D$192&lt;=0,0,IF(ABS($E$80)/$D$192&lt;=$C$15/6+0.000001,$C$15,MIN(3*($C$15/2-ABS($E$80)/$D$192),$C$15)))</f>
        <v>2.75</v>
      </c>
      <c r="F192" s="5">
        <f>IF($D$192&lt;=0,0,IF(ABS($F$80)/$D$192&lt;=$D$15/6+0.000001,$D$15,MIN(3*($D$15/2-ABS($F$80)/$D$192),$D$15)))</f>
        <v>2.75</v>
      </c>
      <c r="G192" s="3">
        <f>MAX($D$192,0)*TAN(RADIANS($J$6))+$K$6*$E$192*$F$192</f>
        <v>157.24475645401265</v>
      </c>
      <c r="H192" s="3">
        <f>$G$192/$C$192</f>
        <v>2.398450504759944</v>
      </c>
      <c r="I192" s="3">
        <v>1.25</v>
      </c>
      <c r="J192" s="9" t="str">
        <f>IF($H$192&gt;=$I$192-0.00001,"OK","NON OK")</f>
        <v>OK</v>
      </c>
    </row>
    <row r="193" spans="2:11" ht="15.75" x14ac:dyDescent="0.25">
      <c r="B193" s="7" t="s">
        <v>86</v>
      </c>
      <c r="C193" s="3">
        <f>SQRT($H$46^2+$I$46^2)</f>
        <v>65.560976197735187</v>
      </c>
      <c r="D193" s="10">
        <f>$E$46+1*$F$53</f>
        <v>353.33437500000002</v>
      </c>
      <c r="E193" s="5">
        <f>IF($D$193&lt;=0,0,IF(ABS($E$81)/$D$193&lt;=$C$15/6+0.000001,$C$15,MIN(3*($C$15/2-ABS($E$81)/$D$193),$C$15)))</f>
        <v>2.75</v>
      </c>
      <c r="F193" s="5">
        <f>IF($D$193&lt;=0,0,IF(ABS($F$81)/$D$193&lt;=$D$15/6+0.000001,$D$15,MIN(3*($D$15/2-ABS($F$81)/$D$193),$D$15)))</f>
        <v>2.75</v>
      </c>
      <c r="G193" s="3">
        <f>MAX($D$193,0)*TAN(RADIANS($J$6))+$K$6*$E$193*$F$193</f>
        <v>187.87121971771381</v>
      </c>
      <c r="H193" s="3">
        <f>$G$193/$C$193</f>
        <v>2.8655952155301168</v>
      </c>
      <c r="I193" s="3">
        <v>1.25</v>
      </c>
      <c r="J193" s="9" t="str">
        <f>IF($H$193&gt;=$I$193-0.00001,"OK","NON OK")</f>
        <v>OK</v>
      </c>
    </row>
    <row r="195" spans="2:11" ht="20.100000000000001" customHeight="1" x14ac:dyDescent="0.25">
      <c r="B195" s="28" t="s">
        <v>134</v>
      </c>
      <c r="C195" s="29"/>
      <c r="D195" s="29"/>
      <c r="E195" s="29"/>
      <c r="F195" s="29"/>
      <c r="G195" s="29"/>
      <c r="H195" s="29"/>
      <c r="I195" s="29"/>
      <c r="J195" s="29"/>
      <c r="K195" s="29"/>
    </row>
    <row r="196" spans="2:11" ht="15" customHeight="1" x14ac:dyDescent="0.25">
      <c r="B196" s="20" t="s">
        <v>135</v>
      </c>
      <c r="C196" s="21"/>
      <c r="D196" s="21"/>
      <c r="E196" s="21"/>
      <c r="F196" s="21"/>
      <c r="G196" s="21"/>
      <c r="H196" s="21"/>
      <c r="I196" s="21"/>
      <c r="J196" s="21"/>
      <c r="K196" s="21"/>
    </row>
    <row r="197" spans="2:11" ht="32.1" customHeight="1" x14ac:dyDescent="0.25">
      <c r="B197" s="2" t="s">
        <v>51</v>
      </c>
      <c r="C197" s="2" t="s">
        <v>136</v>
      </c>
      <c r="D197" s="2" t="s">
        <v>137</v>
      </c>
      <c r="E197" s="2" t="s">
        <v>138</v>
      </c>
      <c r="F197" s="2" t="s">
        <v>125</v>
      </c>
      <c r="G197" s="2" t="s">
        <v>40</v>
      </c>
    </row>
    <row r="198" spans="2:11" ht="15.75" x14ac:dyDescent="0.25">
      <c r="B198" s="7" t="s">
        <v>63</v>
      </c>
      <c r="C198" s="3">
        <f>-$E$25</f>
        <v>27.75</v>
      </c>
      <c r="D198" s="10">
        <f>1.35*$F$53</f>
        <v>325.80140625000001</v>
      </c>
      <c r="E198" s="3">
        <f>$D$198/$C$198</f>
        <v>11.740591216216217</v>
      </c>
      <c r="F198" s="3">
        <v>1</v>
      </c>
      <c r="G198" s="9" t="str">
        <f>IF($E$198&gt;=$F$198-0.00001,"OK","NON OK")</f>
        <v>OK</v>
      </c>
    </row>
    <row r="199" spans="2:11" ht="15.75" x14ac:dyDescent="0.25">
      <c r="B199" s="7" t="s">
        <v>65</v>
      </c>
      <c r="C199" s="3">
        <f>-$E$27</f>
        <v>57.5</v>
      </c>
      <c r="D199" s="10">
        <f>1*$F$53</f>
        <v>241.33437499999999</v>
      </c>
      <c r="E199" s="3">
        <f>$D$199/$C$199</f>
        <v>4.1971195652173909</v>
      </c>
      <c r="F199" s="3">
        <v>1</v>
      </c>
      <c r="G199" s="9" t="str">
        <f>IF($E$199&gt;=$F$199-0.00001,"OK","NON OK")</f>
        <v>OK</v>
      </c>
    </row>
    <row r="200" spans="2:11" ht="15.75" x14ac:dyDescent="0.25">
      <c r="B200" s="7" t="s">
        <v>74</v>
      </c>
      <c r="C200" s="3">
        <f>-$E$35</f>
        <v>10</v>
      </c>
      <c r="D200" s="10">
        <f>1*$F$53</f>
        <v>241.33437499999999</v>
      </c>
      <c r="E200" s="3">
        <f>$D$200/$C$200</f>
        <v>24.133437499999999</v>
      </c>
      <c r="F200" s="3">
        <v>1.5</v>
      </c>
      <c r="G200" s="9" t="str">
        <f>IF($E$200&gt;=$F$200-0.00001,"OK","NON OK")</f>
        <v>OK</v>
      </c>
    </row>
    <row r="202" spans="2:11" ht="20.100000000000001" customHeight="1" x14ac:dyDescent="0.25">
      <c r="B202" s="28" t="s">
        <v>139</v>
      </c>
      <c r="C202" s="29"/>
      <c r="D202" s="29"/>
      <c r="E202" s="29"/>
      <c r="F202" s="29"/>
      <c r="G202" s="29"/>
      <c r="H202" s="29"/>
      <c r="I202" s="29"/>
      <c r="J202" s="29"/>
      <c r="K202" s="29"/>
    </row>
    <row r="203" spans="2:11" ht="15" customHeight="1" x14ac:dyDescent="0.25">
      <c r="B203" s="20" t="s">
        <v>140</v>
      </c>
      <c r="C203" s="21"/>
      <c r="D203" s="21"/>
      <c r="E203" s="21"/>
      <c r="F203" s="21"/>
      <c r="G203" s="21"/>
      <c r="H203" s="21"/>
      <c r="I203" s="21"/>
      <c r="J203" s="21"/>
      <c r="K203" s="21"/>
    </row>
    <row r="204" spans="2:11" ht="32.1" customHeight="1" x14ac:dyDescent="0.25">
      <c r="B204" s="2" t="s">
        <v>51</v>
      </c>
      <c r="C204" s="2" t="s">
        <v>141</v>
      </c>
      <c r="D204" s="2" t="s">
        <v>142</v>
      </c>
      <c r="E204" s="2" t="s">
        <v>143</v>
      </c>
      <c r="F204" s="2" t="s">
        <v>144</v>
      </c>
      <c r="G204" s="2" t="s">
        <v>145</v>
      </c>
      <c r="H204" s="2" t="s">
        <v>116</v>
      </c>
      <c r="I204" s="2" t="s">
        <v>40</v>
      </c>
    </row>
    <row r="205" spans="2:11" ht="15.75" x14ac:dyDescent="0.25">
      <c r="B205" s="7" t="s">
        <v>59</v>
      </c>
      <c r="C205" s="10">
        <f>$E$23+1.35*$F$51</f>
        <v>168.609375</v>
      </c>
      <c r="D205" s="3">
        <f>IF(AND($B$10+2*$E$15&gt;=$C$15,$C$10+2*$E$15&gt;=$D$15),0,$C$205*(1-MIN($B$10+2*$E$15,$C$15)*MIN($C$10+2*$E$15,$D$15)/($C$15*$D$15)))</f>
        <v>96.372102272727261</v>
      </c>
      <c r="E205" s="5">
        <f t="shared" ref="E205:E220" si="6">2*($B$10+$C$10+2*$E$15)</f>
        <v>4.5999999999999996</v>
      </c>
      <c r="F205" s="3">
        <f t="shared" ref="F205:F212" si="7">$I$10</f>
        <v>1.5</v>
      </c>
      <c r="G205" s="3">
        <f>0.045*$E$205*$E$15*$C$6/$F$205*1000</f>
        <v>2242.5</v>
      </c>
      <c r="H205" s="13">
        <f>$D$205/$G$205</f>
        <v>4.2975296442687744E-2</v>
      </c>
      <c r="I205" s="9" t="str">
        <f>IF($D$205&lt;=$G$205+0.00001,"OK","NON OK")</f>
        <v>OK</v>
      </c>
    </row>
    <row r="206" spans="2:11" ht="15.75" x14ac:dyDescent="0.25">
      <c r="B206" s="7" t="s">
        <v>62</v>
      </c>
      <c r="C206" s="10">
        <f>$E$24+1.35*$F$51</f>
        <v>183.609375</v>
      </c>
      <c r="D206" s="3">
        <f>IF(AND($B$10+2*$E$15&gt;=$C$15,$C$10+2*$E$15&gt;=$D$15),0,$C$206*(1-MIN($B$10+2*$E$15,$C$15)*MIN($C$10+2*$E$15,$D$15)/($C$15*$D$15)))</f>
        <v>104.94565599173552</v>
      </c>
      <c r="E206" s="5">
        <f t="shared" si="6"/>
        <v>4.5999999999999996</v>
      </c>
      <c r="F206" s="3">
        <f t="shared" si="7"/>
        <v>1.5</v>
      </c>
      <c r="G206" s="3">
        <f>0.045*$E$206*$E$15*$C$6/$F$206*1000</f>
        <v>2242.5</v>
      </c>
      <c r="H206" s="13">
        <f>$D$206/$G$206</f>
        <v>4.6798508803449511E-2</v>
      </c>
      <c r="I206" s="9" t="str">
        <f>IF($D$206&lt;=$G$206+0.00001,"OK","NON OK")</f>
        <v>OK</v>
      </c>
    </row>
    <row r="207" spans="2:11" ht="15.75" x14ac:dyDescent="0.25">
      <c r="B207" s="7" t="s">
        <v>64</v>
      </c>
      <c r="C207" s="10">
        <f>$E$26+1.35*$F$51</f>
        <v>63.609375</v>
      </c>
      <c r="D207" s="3">
        <f>IF(AND($B$10+2*$E$15&gt;=$C$15,$C$10+2*$E$15&gt;=$D$15),0,$C$207*(1-MIN($B$10+2*$E$15,$C$15)*MIN($C$10+2*$E$15,$D$15)/($C$15*$D$15)))</f>
        <v>36.357226239669416</v>
      </c>
      <c r="E207" s="5">
        <f t="shared" si="6"/>
        <v>4.5999999999999996</v>
      </c>
      <c r="F207" s="3">
        <f t="shared" si="7"/>
        <v>1.5</v>
      </c>
      <c r="G207" s="3">
        <f>0.045*$E$207*$E$15*$C$6/$F$207*1000</f>
        <v>2242.5</v>
      </c>
      <c r="H207" s="13">
        <f>$D$207/$G$207</f>
        <v>1.621280991735537E-2</v>
      </c>
      <c r="I207" s="9" t="str">
        <f>IF($D$207&lt;=$G$207+0.00001,"OK","NON OK")</f>
        <v>OK</v>
      </c>
    </row>
    <row r="208" spans="2:11" ht="15.75" x14ac:dyDescent="0.25">
      <c r="B208" s="7" t="s">
        <v>66</v>
      </c>
      <c r="C208" s="10">
        <f>$E$28+1*$F$51</f>
        <v>31.5625</v>
      </c>
      <c r="D208" s="3">
        <f>IF(AND($B$10+2*$E$15&gt;=$C$15,$C$10+2*$E$15&gt;=$D$15),0,$C$208*(1-MIN($B$10+2*$E$15,$C$15)*MIN($C$10+2*$E$15,$D$15)/($C$15*$D$15)))</f>
        <v>18.040185950413221</v>
      </c>
      <c r="E208" s="5">
        <f t="shared" si="6"/>
        <v>4.5999999999999996</v>
      </c>
      <c r="F208" s="3">
        <f t="shared" si="7"/>
        <v>1.5</v>
      </c>
      <c r="G208" s="3">
        <f>0.045*$E$208*$E$15*$C$6/$F$208*1000</f>
        <v>2242.5</v>
      </c>
      <c r="H208" s="13">
        <f>$D$208/$G$208</f>
        <v>8.0446760091028857E-3</v>
      </c>
      <c r="I208" s="9" t="str">
        <f>IF($D$208&lt;=$G$208+0.00001,"OK","NON OK")</f>
        <v>OK</v>
      </c>
    </row>
    <row r="209" spans="2:11" ht="15.75" x14ac:dyDescent="0.25">
      <c r="B209" s="7" t="s">
        <v>67</v>
      </c>
      <c r="C209" s="10">
        <f>$E$29+1.35*$F$51</f>
        <v>35.859375</v>
      </c>
      <c r="D209" s="3">
        <f>IF(AND($B$10+2*$E$15&gt;=$C$15,$C$10+2*$E$15&gt;=$D$15),0,$C$209*(1-MIN($B$10+2*$E$15,$C$15)*MIN($C$10+2*$E$15,$D$15)/($C$15*$D$15)))</f>
        <v>20.496151859504131</v>
      </c>
      <c r="E209" s="5">
        <f t="shared" si="6"/>
        <v>4.5999999999999996</v>
      </c>
      <c r="F209" s="3">
        <f t="shared" si="7"/>
        <v>1.5</v>
      </c>
      <c r="G209" s="3">
        <f>0.045*$E$209*$E$15*$C$6/$F$209*1000</f>
        <v>2242.5</v>
      </c>
      <c r="H209" s="13">
        <f>$D$209/$G$209</f>
        <v>9.1398670499461005E-3</v>
      </c>
      <c r="I209" s="9" t="str">
        <f>IF($D$209&lt;=$G$209+0.00001,"OK","NON OK")</f>
        <v>OK</v>
      </c>
    </row>
    <row r="210" spans="2:11" ht="15.75" x14ac:dyDescent="0.25">
      <c r="B210" s="7" t="s">
        <v>68</v>
      </c>
      <c r="C210" s="10">
        <f>$E$30+1.35*$F$51</f>
        <v>110.109375</v>
      </c>
      <c r="D210" s="3">
        <f>IF(AND($B$10+2*$E$15&gt;=$C$15,$C$10+2*$E$15&gt;=$D$15),0,$C$210*(1-MIN($B$10+2*$E$15,$C$15)*MIN($C$10+2*$E$15,$D$15)/($C$15*$D$15)))</f>
        <v>62.935242768595032</v>
      </c>
      <c r="E210" s="5">
        <f t="shared" si="6"/>
        <v>4.5999999999999996</v>
      </c>
      <c r="F210" s="3">
        <f t="shared" si="7"/>
        <v>1.5</v>
      </c>
      <c r="G210" s="3">
        <f>0.045*$E$210*$E$15*$C$6/$F$210*1000</f>
        <v>2242.5</v>
      </c>
      <c r="H210" s="13">
        <f>$D$210/$G$210</f>
        <v>2.8064768235716849E-2</v>
      </c>
      <c r="I210" s="9" t="str">
        <f>IF($D$210&lt;=$G$210+0.00001,"OK","NON OK")</f>
        <v>OK</v>
      </c>
    </row>
    <row r="211" spans="2:11" ht="15.75" x14ac:dyDescent="0.25">
      <c r="B211" s="7" t="s">
        <v>69</v>
      </c>
      <c r="C211" s="10">
        <f>$E$31+1.35*$F$51</f>
        <v>49.359375</v>
      </c>
      <c r="D211" s="3">
        <f>IF(AND($B$10+2*$E$15&gt;=$C$15,$C$10+2*$E$15&gt;=$D$15),0,$C$211*(1-MIN($B$10+2*$E$15,$C$15)*MIN($C$10+2*$E$15,$D$15)/($C$15*$D$15)))</f>
        <v>28.212350206611568</v>
      </c>
      <c r="E211" s="5">
        <f t="shared" si="6"/>
        <v>4.5999999999999996</v>
      </c>
      <c r="F211" s="3">
        <f t="shared" si="7"/>
        <v>1.5</v>
      </c>
      <c r="G211" s="3">
        <f>0.045*$E$211*$E$15*$C$6/$F$211*1000</f>
        <v>2242.5</v>
      </c>
      <c r="H211" s="13">
        <f>$D$211/$G$211</f>
        <v>1.2580758174631692E-2</v>
      </c>
      <c r="I211" s="9" t="str">
        <f>IF($D$211&lt;=$G$211+0.00001,"OK","NON OK")</f>
        <v>OK</v>
      </c>
    </row>
    <row r="212" spans="2:11" ht="15.75" x14ac:dyDescent="0.25">
      <c r="B212" s="7" t="s">
        <v>70</v>
      </c>
      <c r="C212" s="10">
        <f>$E$32+1.35*$F$51</f>
        <v>123.609375</v>
      </c>
      <c r="D212" s="3">
        <f>IF(AND($B$10+2*$E$15&gt;=$C$15,$C$10+2*$E$15&gt;=$D$15),0,$C$212*(1-MIN($B$10+2*$E$15,$C$15)*MIN($C$10+2*$E$15,$D$15)/($C$15*$D$15)))</f>
        <v>70.651441115702468</v>
      </c>
      <c r="E212" s="5">
        <f t="shared" si="6"/>
        <v>4.5999999999999996</v>
      </c>
      <c r="F212" s="3">
        <f t="shared" si="7"/>
        <v>1.5</v>
      </c>
      <c r="G212" s="3">
        <f>0.045*$E$212*$E$15*$C$6/$F$212*1000</f>
        <v>2242.5</v>
      </c>
      <c r="H212" s="13">
        <f>$D$212/$G$212</f>
        <v>3.1505659360402435E-2</v>
      </c>
      <c r="I212" s="9" t="str">
        <f>IF($D$212&lt;=$G$212+0.00001,"OK","NON OK")</f>
        <v>OK</v>
      </c>
    </row>
    <row r="213" spans="2:11" ht="15.75" x14ac:dyDescent="0.25">
      <c r="B213" s="7" t="s">
        <v>78</v>
      </c>
      <c r="C213" s="10">
        <f>$E$39+1*$F$51</f>
        <v>145.20249999999999</v>
      </c>
      <c r="D213" s="3">
        <f>IF(AND($B$10+2*$E$15&gt;=$C$15,$C$10+2*$E$15&gt;=$D$15),0,$C$213*(1-MIN($B$10+2*$E$15,$C$15)*MIN($C$10+2*$E$15,$D$15)/($C$15*$D$15)))</f>
        <v>82.99342892561981</v>
      </c>
      <c r="E213" s="5">
        <f t="shared" si="6"/>
        <v>4.5999999999999996</v>
      </c>
      <c r="F213" s="3">
        <f t="shared" ref="F213:F220" si="8">$J$10</f>
        <v>1.2</v>
      </c>
      <c r="G213" s="3">
        <f>0.045*$E$213*$E$15*$C$6/$F$213*1000</f>
        <v>2803.125</v>
      </c>
      <c r="H213" s="13">
        <f>$D$213/$G$213</f>
        <v>2.9607466283387222E-2</v>
      </c>
      <c r="I213" s="9" t="str">
        <f>IF($D$213&lt;=$G$213+0.00001,"OK","NON OK")</f>
        <v>OK</v>
      </c>
    </row>
    <row r="214" spans="2:11" ht="15.75" x14ac:dyDescent="0.25">
      <c r="B214" s="7" t="s">
        <v>80</v>
      </c>
      <c r="C214" s="10">
        <f>$E$40+1*$F$51</f>
        <v>127.9225</v>
      </c>
      <c r="D214" s="3">
        <f>IF(AND($B$10+2*$E$15&gt;=$C$15,$C$10+2*$E$15&gt;=$D$15),0,$C$214*(1-MIN($B$10+2*$E$15,$C$15)*MIN($C$10+2*$E$15,$D$15)/($C$15*$D$15)))</f>
        <v>73.116695041322302</v>
      </c>
      <c r="E214" s="5">
        <f t="shared" si="6"/>
        <v>4.5999999999999996</v>
      </c>
      <c r="F214" s="3">
        <f t="shared" si="8"/>
        <v>1.2</v>
      </c>
      <c r="G214" s="3">
        <f>0.045*$E$214*$E$15*$C$6/$F$214*1000</f>
        <v>2803.125</v>
      </c>
      <c r="H214" s="13">
        <f>$D$214/$G$214</f>
        <v>2.6083993771709182E-2</v>
      </c>
      <c r="I214" s="9" t="str">
        <f>IF($D$214&lt;=$G$214+0.00001,"OK","NON OK")</f>
        <v>OK</v>
      </c>
    </row>
    <row r="215" spans="2:11" ht="15.75" x14ac:dyDescent="0.25">
      <c r="B215" s="7" t="s">
        <v>81</v>
      </c>
      <c r="C215" s="10">
        <f>$E$41+1*$F$51</f>
        <v>140.16249999999999</v>
      </c>
      <c r="D215" s="3">
        <f>IF(AND($B$10+2*$E$15&gt;=$C$15,$C$10+2*$E$15&gt;=$D$15),0,$C$215*(1-MIN($B$10+2*$E$15,$C$15)*MIN($C$10+2*$E$15,$D$15)/($C$15*$D$15)))</f>
        <v>80.112714876033039</v>
      </c>
      <c r="E215" s="5">
        <f t="shared" si="6"/>
        <v>4.5999999999999996</v>
      </c>
      <c r="F215" s="3">
        <f t="shared" si="8"/>
        <v>1.2</v>
      </c>
      <c r="G215" s="3">
        <f>0.045*$E$215*$E$15*$C$6/$F$215*1000</f>
        <v>2803.125</v>
      </c>
      <c r="H215" s="13">
        <f>$D$215/$G$215</f>
        <v>2.8579786800814463E-2</v>
      </c>
      <c r="I215" s="9" t="str">
        <f>IF($D$215&lt;=$G$215+0.00001,"OK","NON OK")</f>
        <v>OK</v>
      </c>
    </row>
    <row r="216" spans="2:11" ht="15.75" x14ac:dyDescent="0.25">
      <c r="B216" s="7" t="s">
        <v>82</v>
      </c>
      <c r="C216" s="10">
        <f>$E$42+1*$F$51</f>
        <v>82.5625</v>
      </c>
      <c r="D216" s="3">
        <f>IF(AND($B$10+2*$E$15&gt;=$C$15,$C$10+2*$E$15&gt;=$D$15),0,$C$216*(1-MIN($B$10+2*$E$15,$C$15)*MIN($C$10+2*$E$15,$D$15)/($C$15*$D$15)))</f>
        <v>47.190268595041317</v>
      </c>
      <c r="E216" s="5">
        <f t="shared" si="6"/>
        <v>4.5999999999999996</v>
      </c>
      <c r="F216" s="3">
        <f t="shared" si="8"/>
        <v>1.2</v>
      </c>
      <c r="G216" s="3">
        <f>0.045*$E$216*$E$15*$C$6/$F$216*1000</f>
        <v>2803.125</v>
      </c>
      <c r="H216" s="13">
        <f>$D$216/$G$216</f>
        <v>1.6834878428554315E-2</v>
      </c>
      <c r="I216" s="9" t="str">
        <f>IF($D$216&lt;=$G$216+0.00001,"OK","NON OK")</f>
        <v>OK</v>
      </c>
    </row>
    <row r="217" spans="2:11" ht="15.75" x14ac:dyDescent="0.25">
      <c r="B217" s="7" t="s">
        <v>83</v>
      </c>
      <c r="C217" s="10">
        <f>$E$43+1*$F$51</f>
        <v>55.922499999999999</v>
      </c>
      <c r="D217" s="3">
        <f>IF(AND($B$10+2*$E$15&gt;=$C$15,$C$10+2*$E$15&gt;=$D$15),0,$C$217*(1-MIN($B$10+2*$E$15,$C$15)*MIN($C$10+2*$E$15,$D$15)/($C$15*$D$15)))</f>
        <v>31.96363719008264</v>
      </c>
      <c r="E217" s="5">
        <f t="shared" si="6"/>
        <v>4.5999999999999996</v>
      </c>
      <c r="F217" s="3">
        <f t="shared" si="8"/>
        <v>1.2</v>
      </c>
      <c r="G217" s="3">
        <f>0.045*$E$217*$E$15*$C$6/$F$217*1000</f>
        <v>2803.125</v>
      </c>
      <c r="H217" s="13">
        <f>$D$217/$G$217</f>
        <v>1.1402858306383996E-2</v>
      </c>
      <c r="I217" s="9" t="str">
        <f>IF($D$217&lt;=$G$217+0.00001,"OK","NON OK")</f>
        <v>OK</v>
      </c>
    </row>
    <row r="218" spans="2:11" ht="15.75" x14ac:dyDescent="0.25">
      <c r="B218" s="7" t="s">
        <v>84</v>
      </c>
      <c r="C218" s="10">
        <f>$E$44+1*$F$51</f>
        <v>73.202500000000001</v>
      </c>
      <c r="D218" s="3">
        <f>IF(AND($B$10+2*$E$15&gt;=$C$15,$C$10+2*$E$15&gt;=$D$15),0,$C$218*(1-MIN($B$10+2*$E$15,$C$15)*MIN($C$10+2*$E$15,$D$15)/($C$15*$D$15)))</f>
        <v>41.840371074380158</v>
      </c>
      <c r="E218" s="5">
        <f t="shared" si="6"/>
        <v>4.5999999999999996</v>
      </c>
      <c r="F218" s="3">
        <f t="shared" si="8"/>
        <v>1.2</v>
      </c>
      <c r="G218" s="3">
        <f>0.045*$E$218*$E$15*$C$6/$F$218*1000</f>
        <v>2803.125</v>
      </c>
      <c r="H218" s="13">
        <f>$D$218/$G$218</f>
        <v>1.4926330818062042E-2</v>
      </c>
      <c r="I218" s="9" t="str">
        <f>IF($D$218&lt;=$G$218+0.00001,"OK","NON OK")</f>
        <v>OK</v>
      </c>
    </row>
    <row r="219" spans="2:11" ht="15.75" x14ac:dyDescent="0.25">
      <c r="B219" s="7" t="s">
        <v>85</v>
      </c>
      <c r="C219" s="10">
        <f>$E$45+1*$F$51</f>
        <v>60.962499999999999</v>
      </c>
      <c r="D219" s="3">
        <f>IF(AND($B$10+2*$E$15&gt;=$C$15,$C$10+2*$E$15&gt;=$D$15),0,$C$219*(1-MIN($B$10+2*$E$15,$C$15)*MIN($C$10+2*$E$15,$D$15)/($C$15*$D$15)))</f>
        <v>34.844351239669415</v>
      </c>
      <c r="E219" s="5">
        <f t="shared" si="6"/>
        <v>4.5999999999999996</v>
      </c>
      <c r="F219" s="3">
        <f t="shared" si="8"/>
        <v>1.2</v>
      </c>
      <c r="G219" s="3">
        <f>0.045*$E$219*$E$15*$C$6/$F$219*1000</f>
        <v>2803.125</v>
      </c>
      <c r="H219" s="13">
        <f>$D$219/$G$219</f>
        <v>1.2430537788956759E-2</v>
      </c>
      <c r="I219" s="9" t="str">
        <f>IF($D$219&lt;=$G$219+0.00001,"OK","NON OK")</f>
        <v>OK</v>
      </c>
    </row>
    <row r="220" spans="2:11" ht="15.75" x14ac:dyDescent="0.25">
      <c r="B220" s="7" t="s">
        <v>86</v>
      </c>
      <c r="C220" s="10">
        <f>$E$46+1*$F$51</f>
        <v>118.5625</v>
      </c>
      <c r="D220" s="3">
        <f>IF(AND($B$10+2*$E$15&gt;=$C$15,$C$10+2*$E$15&gt;=$D$15),0,$C$220*(1-MIN($B$10+2*$E$15,$C$15)*MIN($C$10+2*$E$15,$D$15)/($C$15*$D$15)))</f>
        <v>67.766797520661143</v>
      </c>
      <c r="E220" s="5">
        <f t="shared" si="6"/>
        <v>4.5999999999999996</v>
      </c>
      <c r="F220" s="3">
        <f t="shared" si="8"/>
        <v>1.2</v>
      </c>
      <c r="G220" s="3">
        <f>0.045*$E$220*$E$15*$C$6/$F$220*1000</f>
        <v>2803.125</v>
      </c>
      <c r="H220" s="13">
        <f>$D$220/$G$220</f>
        <v>2.4175446161216908E-2</v>
      </c>
      <c r="I220" s="9" t="str">
        <f>IF($D$220&lt;=$G$220+0.00001,"OK","NON OK")</f>
        <v>OK</v>
      </c>
    </row>
    <row r="222" spans="2:11" ht="20.100000000000001" customHeight="1" x14ac:dyDescent="0.25">
      <c r="B222" s="28" t="s">
        <v>146</v>
      </c>
      <c r="C222" s="29"/>
      <c r="D222" s="29"/>
      <c r="E222" s="29"/>
      <c r="F222" s="29"/>
      <c r="G222" s="29"/>
      <c r="H222" s="29"/>
      <c r="I222" s="29"/>
      <c r="J222" s="29"/>
      <c r="K222" s="29"/>
    </row>
    <row r="223" spans="2:11" ht="15" customHeight="1" x14ac:dyDescent="0.25">
      <c r="B223" s="20" t="s">
        <v>147</v>
      </c>
      <c r="C223" s="21"/>
      <c r="D223" s="21"/>
      <c r="E223" s="21"/>
      <c r="F223" s="21"/>
      <c r="G223" s="21"/>
      <c r="H223" s="21"/>
      <c r="I223" s="21"/>
      <c r="J223" s="21"/>
      <c r="K223" s="21"/>
    </row>
    <row r="224" spans="2:11" ht="45" customHeight="1" x14ac:dyDescent="0.25">
      <c r="B224" s="20" t="s">
        <v>148</v>
      </c>
      <c r="C224" s="21"/>
      <c r="D224" s="21"/>
      <c r="E224" s="21"/>
      <c r="F224" s="21"/>
      <c r="G224" s="21"/>
      <c r="H224" s="21"/>
      <c r="I224" s="21"/>
      <c r="J224" s="21"/>
      <c r="K224" s="21"/>
    </row>
    <row r="225" spans="2:11" ht="32.1" customHeight="1" x14ac:dyDescent="0.25">
      <c r="B225" s="2" t="s">
        <v>51</v>
      </c>
      <c r="C225" s="2" t="s">
        <v>141</v>
      </c>
      <c r="D225" s="2" t="s">
        <v>149</v>
      </c>
      <c r="E225" s="2" t="s">
        <v>150</v>
      </c>
      <c r="F225" s="2" t="s">
        <v>151</v>
      </c>
      <c r="G225" s="2" t="s">
        <v>152</v>
      </c>
      <c r="H225" s="2" t="s">
        <v>153</v>
      </c>
      <c r="I225" s="2" t="s">
        <v>154</v>
      </c>
      <c r="J225" s="2" t="s">
        <v>155</v>
      </c>
      <c r="K225" s="2" t="s">
        <v>156</v>
      </c>
    </row>
    <row r="226" spans="2:11" x14ac:dyDescent="0.25">
      <c r="B226" s="7" t="s">
        <v>59</v>
      </c>
      <c r="C226" s="3">
        <f>$E$23+1.35*$F$51</f>
        <v>168.609375</v>
      </c>
      <c r="D226" s="5">
        <f>IF($C$226&gt;0,ABS($E$58)/$C$226,"—")</f>
        <v>0.47826522101751451</v>
      </c>
      <c r="E226" s="3" t="str">
        <f>IF($C$226&lt;=0,"—",IF($D$226&lt;=$C$15/6+0.000001,10*$C$226*(1+3*$D$226/$C$15)*($C$15-$B$10)/(8*$F$15*$E$8),"—"))</f>
        <v>—</v>
      </c>
      <c r="F226" s="5">
        <f>IF($D$58&lt;=0,0,IF(ABS($E$58)/$D$58&lt;=$C$15/6+0.000001,$C$15,3*($C$15/2-ABS($E$58)/$D$58)))</f>
        <v>2.75</v>
      </c>
      <c r="G226" s="14">
        <f>IF($D$58&lt;=0,0,IF(ABS($E$58)/$D$58&lt;=$C$15/6+0.000001,$D$58/($C$15*$D$15)*(1+6*ABS($E$58)/$D$58/$C$15),2*$D$58/($D$15*$F$226)))</f>
        <v>87.470178437265218</v>
      </c>
      <c r="H226" s="3">
        <f>IF($D$58&lt;=0,0,$D$15*($G$226*(($C$15/2-0.35*$B$10)*MIN(($C$15/2-0.35*$B$10),$F$226)-MIN(($C$15/2-0.35*$B$10),$F$226)^2/2)-IF(ABS($E$58)/$D$58&lt;=$C$15/6+0.000001,12*$D$58*ABS($E$58)/$D$58/($D$15*$C$15^3),$G$226/$F$226)*(($C$15/2-0.35*$B$10)*MIN(($C$15/2-0.35*$B$10),$F$226)^2/2-MIN(($C$15/2-0.35*$B$10),$F$226)^3/3)))-1.35*($E$6*$E$15+$I$6*MAX($G$6-$E$15,0))*$D$15*($C$15/2-0.35*$B$10)^2/2</f>
        <v>75.457143831705494</v>
      </c>
      <c r="I226" s="15">
        <f>MAX($H$226,0)/($D$15*$F$15^2*$H$8*1000)</f>
        <v>5.5079578302791145E-3</v>
      </c>
      <c r="J226" s="3">
        <f>IF($H$226&lt;=0,0,IF($I$226&gt;=0.5,"μ ≥ 0,5",10*$H$226/($F$15*(1-0.4*1.25*(1-SQRT(1-2*$I$226)))*$E$8)))</f>
        <v>3.668466244245042</v>
      </c>
      <c r="K226" s="10">
        <f>MAX(N($E$226),N($J$226))</f>
        <v>3.668466244245042</v>
      </c>
    </row>
    <row r="227" spans="2:11" x14ac:dyDescent="0.25">
      <c r="B227" s="7" t="s">
        <v>62</v>
      </c>
      <c r="C227" s="3">
        <f>$E$24+1.35*$F$51</f>
        <v>183.609375</v>
      </c>
      <c r="D227" s="5">
        <f>IF($C$227&gt;0,ABS($E$59)/$C$227,"—")</f>
        <v>0.49147817207046207</v>
      </c>
      <c r="E227" s="3" t="str">
        <f>IF($C$227&lt;=0,"—",IF($D$227&lt;=$C$15/6+0.000001,10*$C$227*(1+3*$D$227/$C$15)*($C$15-$B$10)/(8*$F$15*$E$8),"—"))</f>
        <v>—</v>
      </c>
      <c r="F227" s="5">
        <f>IF($D$59&lt;=0,0,IF(ABS($E$59)/$D$59&lt;=$C$15/6+0.000001,$C$15,3*($C$15/2-ABS($E$59)/$D$59)))</f>
        <v>2.75</v>
      </c>
      <c r="G227" s="14">
        <f>IF($D$59&lt;=0,0,IF(ABS($E$59)/$D$59&lt;=$C$15/6+0.000001,$D$59/($C$15*$D$15)*(1+6*ABS($E$59)/$D$59/$C$15),2*$D$59/($D$15*$F$227)))</f>
        <v>92.223296393688955</v>
      </c>
      <c r="H227" s="3">
        <f>IF($D$59&lt;=0,0,$D$15*($G$227*(($C$15/2-0.35*$B$10)*MIN(($C$15/2-0.35*$B$10),$F$227)-MIN(($C$15/2-0.35*$B$10),$F$227)^2/2)-IF(ABS($E$59)/$D$59&lt;=$C$15/6+0.000001,12*$D$59*ABS($E$59)/$D$59/($D$15*$C$15^3),$G$227/$F$227)*(($C$15/2-0.35*$B$10)*MIN(($C$15/2-0.35*$B$10),$F$227)^2/2-MIN(($C$15/2-0.35*$B$10),$F$227)^3/3)))-1.35*($E$6*$E$15+$I$6*MAX($G$6-$E$15,0))*$D$15*($C$15/2-0.35*$B$10)^2/2</f>
        <v>83.273000781367372</v>
      </c>
      <c r="I227" s="15">
        <f>MAX($H$227,0)/($D$15*$F$15^2*$H$8*1000)</f>
        <v>6.0784725396914674E-3</v>
      </c>
      <c r="J227" s="3">
        <f>IF($H$227&lt;=0,0,IF($I$227&gt;=0.5,"μ ≥ 0,5",10*$H$227/($F$15*(1-0.4*1.25*(1-SQRT(1-2*$I$227)))*$E$8)))</f>
        <v>4.0496114192239254</v>
      </c>
      <c r="K227" s="10">
        <f>MAX(N($E$227),N($J$227))</f>
        <v>4.0496114192239254</v>
      </c>
    </row>
    <row r="228" spans="2:11" x14ac:dyDescent="0.25">
      <c r="B228" s="7" t="s">
        <v>63</v>
      </c>
      <c r="C228" s="3">
        <f>$E$25+1.35*$F$51</f>
        <v>-18.890625</v>
      </c>
      <c r="D228" s="5" t="str">
        <f>IF($C$228&gt;0,ABS($E$60)/$C$228,"—")</f>
        <v>—</v>
      </c>
      <c r="E228" s="3" t="str">
        <f>IF($C$228&lt;=0,"—",IF($D$228&lt;=$C$15/6+0.000001,10*$C$228*(1+3*$D$228/$C$15)*($C$15-$B$10)/(8*$F$15*$E$8),"—"))</f>
        <v>—</v>
      </c>
      <c r="F228" s="5">
        <f>IF($D$60&lt;=0,0,IF(ABS($E$60)/$D$60&lt;=$C$15/6+0.000001,$C$15,3*($C$15/2-ABS($E$60)/$D$60)))</f>
        <v>2.75</v>
      </c>
      <c r="G228" s="14">
        <f>IF($D$60&lt;=0,0,IF(ABS($E$60)/$D$60&lt;=$C$15/6+0.000001,$D$60/($C$15*$D$15)*(1+6*ABS($E$60)/$D$60/$C$15),2*$D$60/($D$15*$F$228)))</f>
        <v>71.020351239669424</v>
      </c>
      <c r="H228" s="3">
        <f>IF($D$60&lt;=0,0,$D$15*($G$228*(($C$15/2-0.35*$B$10)*MIN(($C$15/2-0.35*$B$10),$F$228)-MIN(($C$15/2-0.35*$B$10),$F$228)^2/2)-IF(ABS($E$60)/$D$60&lt;=$C$15/6+0.000001,12*$D$60*ABS($E$60)/$D$60/($D$15*$C$15^3),$G$228/$F$228)*(($C$15/2-0.35*$B$10)*MIN(($C$15/2-0.35*$B$10),$F$228)^2/2-MIN(($C$15/2-0.35*$B$10),$F$228)^3/3)))-1.35*($E$6*$E$15+$I$6*MAX($G$6-$E$15,0))*$D$15*($C$15/2-0.35*$B$10)^2/2</f>
        <v>38.080594710743796</v>
      </c>
      <c r="I228" s="15">
        <f>MAX($H$228,0)/($D$15*$F$15^2*$H$8*1000)</f>
        <v>2.779674649315255E-3</v>
      </c>
      <c r="J228" s="3">
        <f>IF($H$228&lt;=0,0,IF($I$228&gt;=0.5,"μ ≥ 0,5",10*$H$228/($F$15*(1-0.4*1.25*(1-SQRT(1-2*$I$228)))*$E$8)))</f>
        <v>1.8488076896389485</v>
      </c>
      <c r="K228" s="10">
        <f>MAX(N($E$228),N($J$228))</f>
        <v>1.8488076896389485</v>
      </c>
    </row>
    <row r="229" spans="2:11" x14ac:dyDescent="0.25">
      <c r="B229" s="7" t="s">
        <v>64</v>
      </c>
      <c r="C229" s="3">
        <f>$E$26+1.35*$F$51</f>
        <v>63.609375</v>
      </c>
      <c r="D229" s="5">
        <f>IF($C$229&gt;0,ABS($E$61)/$C$229,"—")</f>
        <v>0.81497420781134866</v>
      </c>
      <c r="E229" s="3" t="str">
        <f>IF($C$229&lt;=0,"—",IF($D$229&lt;=$C$15/6+0.000001,10*$C$229*(1+3*$D$229/$C$15)*($C$15-$B$10)/(8*$F$15*$E$8),"—"))</f>
        <v>—</v>
      </c>
      <c r="F229" s="5">
        <f>IF($D$61&lt;=0,0,IF(ABS($E$61)/$D$61&lt;=$C$15/6+0.000001,$C$15,3*($C$15/2-ABS($E$61)/$D$61)))</f>
        <v>2.75</v>
      </c>
      <c r="G229" s="14">
        <f>IF($D$61&lt;=0,0,IF(ABS($E$61)/$D$61&lt;=$C$15/6+0.000001,$D$61/($C$15*$D$15)*(1+6*ABS($E$61)/$D$61/$C$15),2*$D$61/($D$15*$F$229)))</f>
        <v>65.276940270473332</v>
      </c>
      <c r="H229" s="3">
        <f>IF($D$61&lt;=0,0,$D$15*($G$229*(($C$15/2-0.35*$B$10)*MIN(($C$15/2-0.35*$B$10),$F$229)-MIN(($C$15/2-0.35*$B$10),$F$229)^2/2)-IF(ABS($E$61)/$D$61&lt;=$C$15/6+0.000001,12*$D$61*ABS($E$61)/$D$61/($D$15*$C$15^3),$G$229/$F$229)*(($C$15/2-0.35*$B$10)*MIN(($C$15/2-0.35*$B$10),$F$229)^2/2-MIN(($C$15/2-0.35*$B$10),$F$229)^3/3)))-1.35*($E$6*$E$15+$I$6*MAX($G$6-$E$15,0))*$D$15*($C$15/2-0.35*$B$10)^2/2</f>
        <v>36.300482073628856</v>
      </c>
      <c r="I229" s="15">
        <f>MAX($H$229,0)/($D$15*$F$15^2*$H$8*1000)</f>
        <v>2.649736185698822E-3</v>
      </c>
      <c r="J229" s="3">
        <f>IF($H$229&lt;=0,0,IF($I$229&gt;=0.5,"μ ≥ 0,5",10*$H$229/($F$15*(1-0.4*1.25*(1-SQRT(1-2*$I$229)))*$E$8)))</f>
        <v>1.7622684980942844</v>
      </c>
      <c r="K229" s="10">
        <f>MAX(N($E$229),N($J$229))</f>
        <v>1.7622684980942844</v>
      </c>
    </row>
    <row r="230" spans="2:11" x14ac:dyDescent="0.25">
      <c r="B230" s="7" t="s">
        <v>65</v>
      </c>
      <c r="C230" s="3">
        <f>$E$27+1*$F$51</f>
        <v>-50.9375</v>
      </c>
      <c r="D230" s="5" t="str">
        <f>IF($C$230&gt;0,ABS($E$62)/$C$230,"—")</f>
        <v>—</v>
      </c>
      <c r="E230" s="3" t="str">
        <f>IF($C$230&lt;=0,"—",IF($D$230&lt;=$C$15/6+0.000001,10*$C$230*(1+3*$D$230/$C$15)*($C$15-$B$10)/(8*$F$15*$E$8),"—"))</f>
        <v>—</v>
      </c>
      <c r="F230" s="5">
        <f>IF($D$62&lt;=0,0,IF(ABS($E$62)/$D$62&lt;=$C$15/6+0.000001,$C$15,3*($C$15/2-ABS($E$62)/$D$62)))</f>
        <v>2.1177584272527921</v>
      </c>
      <c r="G230" s="14">
        <f>IF($D$62&lt;=0,0,IF(ABS($E$62)/$D$62&lt;=$C$15/6+0.000001,$D$62/($C$15*$D$15)*(1+6*ABS($E$62)/$D$62/$C$15),2*$D$62/($D$15*$F$230)))</f>
        <v>63.131717740896079</v>
      </c>
      <c r="H230" s="3">
        <f>IF($D$62&lt;=0,0,$D$15*($G$230*(($C$15/2-0.35*$B$10)*MIN(($C$15/2-0.35*$B$10),$F$230)-MIN(($C$15/2-0.35*$B$10),$F$230)^2/2)-IF(ABS($E$62)/$D$62&lt;=$C$15/6+0.000001,12*$D$62*ABS($E$62)/$D$62/($D$15*$C$15^3),$G$230/$F$230)*(($C$15/2-0.35*$B$10)*MIN(($C$15/2-0.35*$B$10),$F$230)^2/2-MIN(($C$15/2-0.35*$B$10),$F$230)^3/3)))-1*($E$6*$E$15+$I$6*MAX($G$6-$E$15,0))*$D$15*($C$15/2-0.35*$B$10)^2/2</f>
        <v>38.921780358150592</v>
      </c>
      <c r="I230" s="15">
        <f>MAX($H$230,0)/($D$15*$F$15^2*$H$8*1000)</f>
        <v>2.8410765900471527E-3</v>
      </c>
      <c r="J230" s="3">
        <f>IF($H$230&lt;=0,0,IF($I$230&gt;=0.5,"μ ≥ 0,5",10*$H$230/($F$15*(1-0.4*1.25*(1-SQRT(1-2*$I$230)))*$E$8)))</f>
        <v>1.8897053989293719</v>
      </c>
      <c r="K230" s="10">
        <f>MAX(N($E$230),N($J$230))</f>
        <v>1.8897053989293719</v>
      </c>
    </row>
    <row r="231" spans="2:11" x14ac:dyDescent="0.25">
      <c r="B231" s="7" t="s">
        <v>66</v>
      </c>
      <c r="C231" s="3">
        <f>$E$28+1*$F$51</f>
        <v>31.5625</v>
      </c>
      <c r="D231" s="5">
        <f>IF($C$231&gt;0,ABS($E$63)/$C$231,"—")</f>
        <v>1.2166336633663366</v>
      </c>
      <c r="E231" s="3" t="str">
        <f>IF($C$231&lt;=0,"—",IF($D$231&lt;=$C$15/6+0.000001,10*$C$231*(1+3*$D$231/$C$15)*($C$15-$B$10)/(8*$F$15*$E$8),"—"))</f>
        <v>—</v>
      </c>
      <c r="F231" s="5">
        <f>IF($D$63&lt;=0,0,IF(ABS($E$63)/$D$63&lt;=$C$15/6+0.000001,$C$15,3*($C$15/2-ABS($E$63)/$D$63)))</f>
        <v>2.75</v>
      </c>
      <c r="G231" s="14">
        <f>IF($D$63&lt;=0,0,IF(ABS($E$63)/$D$63&lt;=$C$15/6+0.000001,$D$63/($C$15*$D$15)*(1+6*ABS($E$63)/$D$63/$C$15),2*$D$63/($D$15*$F$231)))</f>
        <v>46.296356123215631</v>
      </c>
      <c r="H231" s="3">
        <f>IF($D$63&lt;=0,0,$D$15*($G$231*(($C$15/2-0.35*$B$10)*MIN(($C$15/2-0.35*$B$10),$F$231)-MIN(($C$15/2-0.35*$B$10),$F$231)^2/2)-IF(ABS($E$63)/$D$63&lt;=$C$15/6+0.000001,12*$D$63*ABS($E$63)/$D$63/($D$15*$C$15^3),$G$231/$F$231)*(($C$15/2-0.35*$B$10)*MIN(($C$15/2-0.35*$B$10),$F$231)^2/2-MIN(($C$15/2-0.35*$B$10),$F$231)^3/3)))-1*($E$6*$E$15+$I$6*MAX($G$6-$E$15,0))*$D$15*($C$15/2-0.35*$B$10)^2/2</f>
        <v>22.81651870773856</v>
      </c>
      <c r="I231" s="15">
        <f>MAX($H$231,0)/($D$15*$F$15^2*$H$8*1000)</f>
        <v>1.6654807814656988E-3</v>
      </c>
      <c r="J231" s="3">
        <f>IF($H$231&lt;=0,0,IF($I$231&gt;=0.5,"μ ≥ 0,5",10*$H$231/($F$15*(1-0.4*1.25*(1-SQRT(1-2*$I$231)))*$E$8)))</f>
        <v>1.1071198673379161</v>
      </c>
      <c r="K231" s="10">
        <f>MAX(N($E$231),N($J$231))</f>
        <v>1.1071198673379161</v>
      </c>
    </row>
    <row r="232" spans="2:11" x14ac:dyDescent="0.25">
      <c r="B232" s="7" t="s">
        <v>67</v>
      </c>
      <c r="C232" s="3">
        <f>$E$29+1.35*$F$51</f>
        <v>35.859375</v>
      </c>
      <c r="D232" s="5">
        <f>IF($C$232&gt;0,ABS($E$64)/$C$232,"—")</f>
        <v>1.8823529411764706</v>
      </c>
      <c r="E232" s="3" t="str">
        <f>IF($C$232&lt;=0,"—",IF($D$232&lt;=$C$15/6+0.000001,10*$C$232*(1+3*$D$232/$C$15)*($C$15-$B$10)/(8*$F$15*$E$8),"—"))</f>
        <v>—</v>
      </c>
      <c r="F232" s="5">
        <f>IF($D$64&lt;=0,0,IF(ABS($E$64)/$D$64&lt;=$C$15/6+0.000001,$C$15,3*($C$15/2-ABS($E$64)/$D$64)))</f>
        <v>2.75</v>
      </c>
      <c r="G232" s="14">
        <f>IF($D$64&lt;=0,0,IF(ABS($E$64)/$D$64&lt;=$C$15/6+0.000001,$D$64/($C$15*$D$15)*(1+6*ABS($E$64)/$D$64/$C$15),2*$D$64/($D$15*$F$232)))</f>
        <v>66.125505259203607</v>
      </c>
      <c r="H232" s="3">
        <f>IF($D$64&lt;=0,0,$D$15*($G$232*(($C$15/2-0.35*$B$10)*MIN(($C$15/2-0.35*$B$10),$F$232)-MIN(($C$15/2-0.35*$B$10),$F$232)^2/2)-IF(ABS($E$64)/$D$64&lt;=$C$15/6+0.000001,12*$D$64*ABS($E$64)/$D$64/($D$15*$C$15^3),$G$232/$F$232)*(($C$15/2-0.35*$B$10)*MIN(($C$15/2-0.35*$B$10),$F$232)^2/2-MIN(($C$15/2-0.35*$B$10),$F$232)^3/3)))-1.35*($E$6*$E$15+$I$6*MAX($G$6-$E$15,0))*$D$15*($C$15/2-0.35*$B$10)^2/2</f>
        <v>35.378280540946633</v>
      </c>
      <c r="I232" s="15">
        <f>MAX($H$232,0)/($D$15*$F$15^2*$H$8*1000)</f>
        <v>2.5824205294852588E-3</v>
      </c>
      <c r="J232" s="3">
        <f>IF($H$232&lt;=0,0,IF($I$232&gt;=0.5,"μ ≥ 0,5",10*$H$232/($F$15*(1-0.4*1.25*(1-SQRT(1-2*$I$232)))*$E$8)))</f>
        <v>1.7174406257385215</v>
      </c>
      <c r="K232" s="10">
        <f>MAX(N($E$232),N($J$232))</f>
        <v>1.7174406257385215</v>
      </c>
    </row>
    <row r="233" spans="2:11" x14ac:dyDescent="0.25">
      <c r="B233" s="7" t="s">
        <v>68</v>
      </c>
      <c r="C233" s="3">
        <f>$E$30+1.35*$F$51</f>
        <v>110.109375</v>
      </c>
      <c r="D233" s="5">
        <f>IF($C$233&gt;0,ABS($E$65)/$C$233,"—")</f>
        <v>0.70620689655172419</v>
      </c>
      <c r="E233" s="3" t="str">
        <f>IF($C$233&lt;=0,"—",IF($D$233&lt;=$C$15/6+0.000001,10*$C$233*(1+3*$D$233/$C$15)*($C$15-$B$10)/(8*$F$15*$E$8),"—"))</f>
        <v>—</v>
      </c>
      <c r="F233" s="5">
        <f>IF($D$65&lt;=0,0,IF(ABS($E$65)/$D$65&lt;=$C$15/6+0.000001,$C$15,3*($C$15/2-ABS($E$65)/$D$65)))</f>
        <v>2.75</v>
      </c>
      <c r="G233" s="14">
        <f>IF($D$65&lt;=0,0,IF(ABS($E$65)/$D$65&lt;=$C$15/6+0.000001,$D$65/($C$15*$D$15)*(1+6*ABS($E$65)/$D$65/$C$15),2*$D$65/($D$15*$F$233)))</f>
        <v>78.903747182569504</v>
      </c>
      <c r="H233" s="3">
        <f>IF($D$65&lt;=0,0,$D$15*($G$233*(($C$15/2-0.35*$B$10)*MIN(($C$15/2-0.35*$B$10),$F$233)-MIN(($C$15/2-0.35*$B$10),$F$233)^2/2)-IF(ABS($E$65)/$D$65&lt;=$C$15/6+0.000001,12*$D$65*ABS($E$65)/$D$65/($D$15*$C$15^3),$G$233/$F$233)*(($C$15/2-0.35*$B$10)*MIN(($C$15/2-0.35*$B$10),$F$233)^2/2-MIN(($C$15/2-0.35*$B$10),$F$233)^3/3)))-1.35*($E$6*$E$15+$I$6*MAX($G$6-$E$15,0))*$D$15*($C$15/2-0.35*$B$10)^2/2</f>
        <v>58.974204928625099</v>
      </c>
      <c r="I233" s="15">
        <f>MAX($H$233,0)/($D$15*$F$15^2*$H$8*1000)</f>
        <v>4.304793652746503E-3</v>
      </c>
      <c r="J233" s="3">
        <f>IF($H$233&lt;=0,0,IF($I$233&gt;=0.5,"μ ≥ 0,5",10*$H$233/($F$15*(1-0.4*1.25*(1-SQRT(1-2*$I$233)))*$E$8)))</f>
        <v>2.8653854866286563</v>
      </c>
      <c r="K233" s="10">
        <f>MAX(N($E$233),N($J$233))</f>
        <v>2.8653854866286563</v>
      </c>
    </row>
    <row r="234" spans="2:11" x14ac:dyDescent="0.25">
      <c r="B234" s="7" t="s">
        <v>69</v>
      </c>
      <c r="C234" s="3">
        <f>$E$31+1.35*$F$51</f>
        <v>49.359375</v>
      </c>
      <c r="D234" s="5">
        <f>IF($C$234&gt;0,ABS($E$66)/$C$234,"—")</f>
        <v>1.1924786324786325</v>
      </c>
      <c r="E234" s="3" t="str">
        <f>IF($C$234&lt;=0,"—",IF($D$234&lt;=$C$15/6+0.000001,10*$C$234*(1+3*$D$234/$C$15)*($C$15-$B$10)/(8*$F$15*$E$8),"—"))</f>
        <v>—</v>
      </c>
      <c r="F234" s="5">
        <f>IF($D$66&lt;=0,0,IF(ABS($E$66)/$D$66&lt;=$C$15/6+0.000001,$C$15,3*($C$15/2-ABS($E$66)/$D$66)))</f>
        <v>2.75</v>
      </c>
      <c r="G234" s="14">
        <f>IF($D$66&lt;=0,0,IF(ABS($E$66)/$D$66&lt;=$C$15/6+0.000001,$D$66/($C$15*$D$15)*(1+6*ABS($E$66)/$D$66/$C$15),2*$D$66/($D$15*$F$234)))</f>
        <v>65.417947032306543</v>
      </c>
      <c r="H234" s="3">
        <f>IF($D$66&lt;=0,0,$D$15*($G$234*(($C$15/2-0.35*$B$10)*MIN(($C$15/2-0.35*$B$10),$F$234)-MIN(($C$15/2-0.35*$B$10),$F$234)^2/2)-IF(ABS($E$66)/$D$66&lt;=$C$15/6+0.000001,12*$D$66*ABS($E$66)/$D$66/($D$15*$C$15^3),$G$234/$F$234)*(($C$15/2-0.35*$B$10)*MIN(($C$15/2-0.35*$B$10),$F$234)^2/2-MIN(($C$15/2-0.35*$B$10),$F$234)^3/3)))-1.35*($E$6*$E$15+$I$6*MAX($G$6-$E$15,0))*$D$15*($C$15/2-0.35*$B$10)^2/2</f>
        <v>35.413100195341841</v>
      </c>
      <c r="I234" s="15">
        <f>MAX($H$234,0)/($D$15*$F$15^2*$H$8*1000)</f>
        <v>2.5849621733685926E-3</v>
      </c>
      <c r="J234" s="3">
        <f>IF($H$234&lt;=0,0,IF($I$234&gt;=0.5,"μ ≥ 0,5",10*$H$234/($F$15*(1-0.4*1.25*(1-SQRT(1-2*$I$234)))*$E$8)))</f>
        <v>1.7191331410407598</v>
      </c>
      <c r="K234" s="10">
        <f>MAX(N($E$234),N($J$234))</f>
        <v>1.7191331410407598</v>
      </c>
    </row>
    <row r="235" spans="2:11" x14ac:dyDescent="0.25">
      <c r="B235" s="7" t="s">
        <v>70</v>
      </c>
      <c r="C235" s="3">
        <f>$E$32+1.35*$F$51</f>
        <v>123.609375</v>
      </c>
      <c r="D235" s="5">
        <f>IF($C$235&gt;0,ABS($E$67)/$C$235,"—")</f>
        <v>0.69897610921501707</v>
      </c>
      <c r="E235" s="3" t="str">
        <f>IF($C$235&lt;=0,"—",IF($D$235&lt;=$C$15/6+0.000001,10*$C$235*(1+3*$D$235/$C$15)*($C$15-$B$10)/(8*$F$15*$E$8),"—"))</f>
        <v>—</v>
      </c>
      <c r="F235" s="5">
        <f>IF($D$67&lt;=0,0,IF(ABS($E$67)/$D$67&lt;=$C$15/6+0.000001,$C$15,3*($C$15/2-ABS($E$67)/$D$67)))</f>
        <v>2.75</v>
      </c>
      <c r="G235" s="14">
        <f>IF($D$67&lt;=0,0,IF(ABS($E$67)/$D$67&lt;=$C$15/6+0.000001,$D$67/($C$15*$D$15)*(1+6*ABS($E$67)/$D$67/$C$15),2*$D$67/($D$15*$F$235)))</f>
        <v>83.18155334335087</v>
      </c>
      <c r="H235" s="3">
        <f>IF($D$67&lt;=0,0,$D$15*($G$235*(($C$15/2-0.35*$B$10)*MIN(($C$15/2-0.35*$B$10),$F$235)-MIN(($C$15/2-0.35*$B$10),$F$235)^2/2)-IF(ABS($E$67)/$D$67&lt;=$C$15/6+0.000001,12*$D$67*ABS($E$67)/$D$67/($D$15*$C$15^3),$G$235/$F$235)*(($C$15/2-0.35*$B$10)*MIN(($C$15/2-0.35*$B$10),$F$235)^2/2-MIN(($C$15/2-0.35*$B$10),$F$235)^3/3)))-1.35*($E$6*$E$15+$I$6*MAX($G$6-$E$15,0))*$D$15*($C$15/2-0.35*$B$10)^2/2</f>
        <v>66.008476183320809</v>
      </c>
      <c r="I235" s="15">
        <f>MAX($H$235,0)/($D$15*$F$15^2*$H$8*1000)</f>
        <v>4.8182568912176222E-3</v>
      </c>
      <c r="J235" s="3">
        <f>IF($H$235&lt;=0,0,IF($I$235&gt;=0.5,"μ ≥ 0,5",10*$H$235/($F$15*(1-0.4*1.25*(1-SQRT(1-2*$I$235)))*$E$8)))</f>
        <v>3.2079894785528742</v>
      </c>
      <c r="K235" s="10">
        <f>MAX(N($E$235),N($J$235))</f>
        <v>3.2079894785528742</v>
      </c>
    </row>
    <row r="236" spans="2:11" x14ac:dyDescent="0.25">
      <c r="B236" s="7" t="s">
        <v>71</v>
      </c>
      <c r="C236" s="3">
        <f>$E$33+1*$F$51</f>
        <v>121.5625</v>
      </c>
      <c r="D236" s="5">
        <f>IF($C$236&gt;0,ABS($E$68)/$C$236,"—")</f>
        <v>0.47383033419023129</v>
      </c>
      <c r="E236" s="3" t="str">
        <f>IF($C$236&lt;=0,"—",IF($D$236&lt;=$C$15/6+0.000001,10*$C$236*(1+3*$D$236/$C$15)*($C$15-$B$10)/(8*$F$15*$G$8),"—"))</f>
        <v>—</v>
      </c>
      <c r="F236" s="5">
        <f>IF($D$68&lt;=0,0,IF(ABS($E$68)/$D$68&lt;=$C$15/6+0.000001,$C$15,3*($C$15/2-ABS($E$68)/$D$68)))</f>
        <v>2.75</v>
      </c>
      <c r="G236" s="14">
        <f>IF($D$68&lt;=0,0,IF(ABS($E$68)/$D$68&lt;=$C$15/6+0.000001,$D$68/($C$15*$D$15)*(1+6*ABS($E$68)/$D$68/$C$15),2*$D$68/($D$15*$F$236)))</f>
        <v>63.736476333583767</v>
      </c>
      <c r="H236" s="3">
        <f>IF($D$68&lt;=0,0,$D$15*($G$236*(($C$15/2-0.35*$B$10)*MIN(($C$15/2-0.35*$B$10),$F$236)-MIN(($C$15/2-0.35*$B$10),$F$236)^2/2)-IF(ABS($E$68)/$D$68&lt;=$C$15/6+0.000001,12*$D$68*ABS($E$68)/$D$68/($D$15*$C$15^3),$G$236/$F$236)*(($C$15/2-0.35*$B$10)*MIN(($C$15/2-0.35*$B$10),$F$236)^2/2-MIN(($C$15/2-0.35*$B$10),$F$236)^3/3)))-1*($E$6*$E$15+$I$6*MAX($G$6-$E$15,0))*$D$15*($C$15/2-0.35*$B$10)^2/2</f>
        <v>54.157323516153262</v>
      </c>
      <c r="I236" s="15">
        <f>MAX($H$236,0)/($D$15*$F$15^2*$G$8*1000)</f>
        <v>2.7774918210077151E-4</v>
      </c>
      <c r="J236" s="3">
        <f>IF($H$236&lt;=0,0,10*$H$236/($F$15*(1-(1+2*SQRT((3+90*$I$236)/3)*COS(ACOS((3/(3+90*$I$236))*SQRT(3/(3+90*$I$236)))/3-2*PI()/3))/3)*$G$8))</f>
        <v>4.6670179299400267</v>
      </c>
      <c r="K236" s="10">
        <f>MAX(N($E$236),N($J$236))</f>
        <v>4.6670179299400267</v>
      </c>
    </row>
    <row r="237" spans="2:11" x14ac:dyDescent="0.25">
      <c r="B237" s="7" t="s">
        <v>73</v>
      </c>
      <c r="C237" s="3">
        <f>$E$34+1*$F$51</f>
        <v>131.5625</v>
      </c>
      <c r="D237" s="5">
        <f>IF($C$237&gt;0,ABS($E$69)/$C$237,"—")</f>
        <v>0.48646080760095012</v>
      </c>
      <c r="E237" s="3" t="str">
        <f>IF($C$237&lt;=0,"—",IF($D$237&lt;=$C$15/6+0.000001,10*$C$237*(1+3*$D$237/$C$15)*($C$15-$B$10)/(8*$F$15*$G$8),"—"))</f>
        <v>—</v>
      </c>
      <c r="F237" s="5">
        <f>IF($D$69&lt;=0,0,IF(ABS($E$69)/$D$69&lt;=$C$15/6+0.000001,$C$15,3*($C$15/2-ABS($E$69)/$D$69)))</f>
        <v>2.75</v>
      </c>
      <c r="G237" s="14">
        <f>IF($D$69&lt;=0,0,IF(ABS($E$69)/$D$69&lt;=$C$15/6+0.000001,$D$69/($C$15*$D$15)*(1+6*ABS($E$69)/$D$69/$C$15),2*$D$69/($D$15*$F$237)))</f>
        <v>66.905221637866276</v>
      </c>
      <c r="H237" s="3">
        <f>IF($D$69&lt;=0,0,$D$15*($G$237*(($C$15/2-0.35*$B$10)*MIN(($C$15/2-0.35*$B$10),$F$237)-MIN(($C$15/2-0.35*$B$10),$F$237)^2/2)-IF(ABS($E$69)/$D$69&lt;=$C$15/6+0.000001,12*$D$69*ABS($E$69)/$D$69/($D$15*$C$15^3),$G$237/$F$237)*(($C$15/2-0.35*$B$10)*MIN(($C$15/2-0.35*$B$10),$F$237)^2/2-MIN(($C$15/2-0.35*$B$10),$F$237)^3/3)))-1*($E$6*$E$15+$I$6*MAX($G$6-$E$15,0))*$D$15*($C$15/2-0.35*$B$10)^2/2</f>
        <v>59.36789481592789</v>
      </c>
      <c r="I237" s="15">
        <f>MAX($H$237,0)/($D$15*$F$15^2*$G$8*1000)</f>
        <v>3.0447191917175136E-4</v>
      </c>
      <c r="J237" s="3">
        <f>IF($H$237&lt;=0,0,10*$H$237/($F$15*(1-(1+2*SQRT((3+90*$I$237)/3)*COS(ACOS((3/(3+90*$I$237))*SQRT(3/(3+90*$I$237)))/3-2*PI()/3))/3)*$G$8))</f>
        <v>5.1231090462438207</v>
      </c>
      <c r="K237" s="10">
        <f>MAX(N($E$237),N($J$237))</f>
        <v>5.1231090462438207</v>
      </c>
    </row>
    <row r="238" spans="2:11" x14ac:dyDescent="0.25">
      <c r="B238" s="7" t="s">
        <v>74</v>
      </c>
      <c r="C238" s="3">
        <f>$E$35+1*$F$51</f>
        <v>-3.4375</v>
      </c>
      <c r="D238" s="5" t="str">
        <f>IF($C$238&gt;0,ABS($E$70)/$C$238,"—")</f>
        <v>—</v>
      </c>
      <c r="E238" s="3" t="str">
        <f>IF($C$238&lt;=0,"—",IF($D$238&lt;=$C$15/6+0.000001,10*$C$238*(1+3*$D$238/$C$15)*($C$15-$B$10)/(8*$F$15*$G$8),"—"))</f>
        <v>—</v>
      </c>
      <c r="F238" s="5">
        <f>IF($D$70&lt;=0,0,IF(ABS($E$70)/$D$70&lt;=$C$15/6+0.000001,$C$15,3*($C$15/2-ABS($E$70)/$D$70)))</f>
        <v>2.75</v>
      </c>
      <c r="G238" s="14">
        <f>IF($D$70&lt;=0,0,IF(ABS($E$70)/$D$70&lt;=$C$15/6+0.000001,$D$70/($C$15*$D$15)*(1+6*ABS($E$70)/$D$70/$C$15),2*$D$70/($D$15*$F$238)))</f>
        <v>50.554207362885052</v>
      </c>
      <c r="H238" s="3">
        <f>IF($D$70&lt;=0,0,$D$15*($G$238*(($C$15/2-0.35*$B$10)*MIN(($C$15/2-0.35*$B$10),$F$238)-MIN(($C$15/2-0.35*$B$10),$F$238)^2/2)-IF(ABS($E$70)/$D$70&lt;=$C$15/6+0.000001,12*$D$70*ABS($E$70)/$D$70/($D$15*$C$15^3),$G$238/$F$238)*(($C$15/2-0.35*$B$10)*MIN(($C$15/2-0.35*$B$10),$F$238)^2/2-MIN(($C$15/2-0.35*$B$10),$F$238)^3/3)))-1*($E$6*$E$15+$I$6*MAX($G$6-$E$15,0))*$D$15*($C$15/2-0.35*$B$10)^2/2</f>
        <v>26.128756724267483</v>
      </c>
      <c r="I238" s="15">
        <f>MAX($H$238,0)/($D$15*$F$15^2*$G$8*1000)</f>
        <v>1.3400294435360606E-4</v>
      </c>
      <c r="J238" s="3">
        <f>IF($H$238&lt;=0,0,10*$H$238/($F$15*(1-(1+2*SQRT((3+90*$I$238)/3)*COS(ACOS((3/(3+90*$I$238))*SQRT(3/(3+90*$I$238)))/3-2*PI()/3))/3)*$G$8))</f>
        <v>2.231406382190277</v>
      </c>
      <c r="K238" s="10">
        <f>MAX(N($E$238),N($J$238))</f>
        <v>2.231406382190277</v>
      </c>
    </row>
    <row r="239" spans="2:11" x14ac:dyDescent="0.25">
      <c r="B239" s="7" t="s">
        <v>75</v>
      </c>
      <c r="C239" s="3">
        <f>$E$36+1*$F$51</f>
        <v>51.5625</v>
      </c>
      <c r="D239" s="5">
        <f>IF($C$239&gt;0,ABS($E$71)/$C$239,"—")</f>
        <v>0.74472727272727268</v>
      </c>
      <c r="E239" s="3" t="str">
        <f>IF($C$239&lt;=0,"—",IF($D$239&lt;=$C$15/6+0.000001,10*$C$239*(1+3*$D$239/$C$15)*($C$15-$B$10)/(8*$F$15*$G$8),"—"))</f>
        <v>—</v>
      </c>
      <c r="F239" s="5">
        <f>IF($D$71&lt;=0,0,IF(ABS($E$71)/$D$71&lt;=$C$15/6+0.000001,$C$15,3*($C$15/2-ABS($E$71)/$D$71)))</f>
        <v>2.75</v>
      </c>
      <c r="G239" s="14">
        <f>IF($D$71&lt;=0,0,IF(ABS($E$71)/$D$71&lt;=$C$15/6+0.000001,$D$71/($C$15*$D$15)*(1+6*ABS($E$71)/$D$71/$C$15),2*$D$71/($D$15*$F$239)))</f>
        <v>48.94098422238919</v>
      </c>
      <c r="H239" s="3">
        <f>IF($D$71&lt;=0,0,$D$15*($G$239*(($C$15/2-0.35*$B$10)*MIN(($C$15/2-0.35*$B$10),$F$239)-MIN(($C$15/2-0.35*$B$10),$F$239)^2/2)-IF(ABS($E$71)/$D$71&lt;=$C$15/6+0.000001,12*$D$71*ABS($E$71)/$D$71/($D$15*$C$15^3),$G$239/$F$239)*(($C$15/2-0.35*$B$10)*MIN(($C$15/2-0.35*$B$10),$F$239)^2/2-MIN(($C$15/2-0.35*$B$10),$F$239)^3/3)))-1*($E$6*$E$15+$I$6*MAX($G$6-$E$15,0))*$D$15*($C$15/2-0.35*$B$10)^2/2</f>
        <v>28.052882344102223</v>
      </c>
      <c r="I239" s="15">
        <f>MAX($H$239,0)/($D$15*$F$15^2*$G$8*1000)</f>
        <v>1.4387094156009355E-4</v>
      </c>
      <c r="J239" s="3">
        <f>IF($H$239&lt;=0,0,10*$H$239/($F$15*(1-(1+2*SQRT((3+90*$I$239)/3)*COS(ACOS((3/(3+90*$I$239))*SQRT(3/(3+90*$I$239)))/3-2*PI()/3))/3)*$G$8))</f>
        <v>2.3975170092139795</v>
      </c>
      <c r="K239" s="10">
        <f>MAX(N($E$239),N($J$239))</f>
        <v>2.3975170092139795</v>
      </c>
    </row>
    <row r="240" spans="2:11" x14ac:dyDescent="0.25">
      <c r="B240" s="7" t="s">
        <v>76</v>
      </c>
      <c r="C240" s="3">
        <f>$E$37+1*$F$51</f>
        <v>33.0625</v>
      </c>
      <c r="D240" s="5">
        <f>IF($C$240&gt;0,ABS($E$72)/$C$240,"—")</f>
        <v>1.244914933837429</v>
      </c>
      <c r="E240" s="3" t="str">
        <f>IF($C$240&lt;=0,"—",IF($D$240&lt;=$C$15/6+0.000001,10*$C$240*(1+3*$D$240/$C$15)*($C$15-$B$10)/(8*$F$15*$G$8),"—"))</f>
        <v>—</v>
      </c>
      <c r="F240" s="5">
        <f>IF($D$72&lt;=0,0,IF(ABS($E$72)/$D$72&lt;=$C$15/6+0.000001,$C$15,3*($C$15/2-ABS($E$72)/$D$72)))</f>
        <v>2.75</v>
      </c>
      <c r="G240" s="14">
        <f>IF($D$72&lt;=0,0,IF(ABS($E$72)/$D$72&lt;=$C$15/6+0.000001,$D$72/($C$15*$D$15)*(1+6*ABS($E$72)/$D$72/$C$15),2*$D$72/($D$15*$F$240)))</f>
        <v>47.290976709241178</v>
      </c>
      <c r="H240" s="3">
        <f>IF($D$72&lt;=0,0,$D$15*($G$240*(($C$15/2-0.35*$B$10)*MIN(($C$15/2-0.35*$B$10),$F$240)-MIN(($C$15/2-0.35*$B$10),$F$240)^2/2)-IF(ABS($E$72)/$D$72&lt;=$C$15/6+0.000001,12*$D$72*ABS($E$72)/$D$72/($D$15*$C$15^3),$G$240/$F$240)*(($C$15/2-0.35*$B$10)*MIN(($C$15/2-0.35*$B$10),$F$240)^2/2-MIN(($C$15/2-0.35*$B$10),$F$240)^3/3)))-1*($E$6*$E$15+$I$6*MAX($G$6-$E$15,0))*$D$15*($C$15/2-0.35*$B$10)^2/2</f>
        <v>24.327213944402722</v>
      </c>
      <c r="I240" s="15">
        <f>MAX($H$240,0)/($D$15*$F$15^2*$G$8*1000)</f>
        <v>1.2476362082097724E-4</v>
      </c>
      <c r="J240" s="3">
        <f>IF($H$240&lt;=0,0,10*$H$240/($F$15*(1-(1+2*SQRT((3+90*$I$240)/3)*COS(ACOS((3/(3+90*$I$240))*SQRT(3/(3+90*$I$240)))/3-2*PI()/3))/3)*$G$8))</f>
        <v>2.0760479964082847</v>
      </c>
      <c r="K240" s="10">
        <f>MAX(N($E$240),N($J$240))</f>
        <v>2.0760479964082847</v>
      </c>
    </row>
    <row r="241" spans="2:11" x14ac:dyDescent="0.25">
      <c r="B241" s="7" t="s">
        <v>77</v>
      </c>
      <c r="C241" s="3">
        <f>$E$38+1*$F$51</f>
        <v>82.5625</v>
      </c>
      <c r="D241" s="5">
        <f>IF($C$241&gt;0,ABS($E$73)/$C$241,"—")</f>
        <v>0.67439818319454958</v>
      </c>
      <c r="E241" s="3" t="str">
        <f>IF($C$241&lt;=0,"—",IF($D$241&lt;=$C$15/6+0.000001,10*$C$241*(1+3*$D$241/$C$15)*($C$15-$B$10)/(8*$F$15*$G$8),"—"))</f>
        <v>—</v>
      </c>
      <c r="F241" s="5">
        <f>IF($D$73&lt;=0,0,IF(ABS($E$73)/$D$73&lt;=$C$15/6+0.000001,$C$15,3*($C$15/2-ABS($E$73)/$D$73)))</f>
        <v>2.75</v>
      </c>
      <c r="G241" s="14">
        <f>IF($D$73&lt;=0,0,IF(ABS($E$73)/$D$73&lt;=$C$15/6+0.000001,$D$73/($C$15*$D$15)*(1+6*ABS($E$73)/$D$73/$C$15),2*$D$73/($D$15*$F$241)))</f>
        <v>58.025522163786626</v>
      </c>
      <c r="H241" s="3">
        <f>IF($D$73&lt;=0,0,$D$15*($G$241*(($C$15/2-0.35*$B$10)*MIN(($C$15/2-0.35*$B$10),$F$241)-MIN(($C$15/2-0.35*$B$10),$F$241)^2/2)-IF(ABS($E$73)/$D$73&lt;=$C$15/6+0.000001,12*$D$73*ABS($E$73)/$D$73/($D$15*$C$15^3),$G$241/$F$241)*(($C$15/2-0.35*$B$10)*MIN(($C$15/2-0.35*$B$10),$F$241)^2/2-MIN(($C$15/2-0.35*$B$10),$F$241)^3/3)))-1*($E$6*$E$15+$I$6*MAX($G$6-$E$15,0))*$D$15*($C$15/2-0.35*$B$10)^2/2</f>
        <v>43.168697580766356</v>
      </c>
      <c r="I241" s="15">
        <f>MAX($H$241,0)/($D$15*$F$15^2*$G$8*1000)</f>
        <v>2.2139333458451256E-4</v>
      </c>
      <c r="J241" s="3">
        <f>IF($H$241&lt;=0,0,10*$H$241/($F$15*(1-(1+2*SQRT((3+90*$I$241)/3)*COS(ACOS((3/(3+90*$I$241))*SQRT(3/(3+90*$I$241)))/3-2*PI()/3))/3)*$G$8))</f>
        <v>3.7083399017632179</v>
      </c>
      <c r="K241" s="10">
        <f>MAX(N($E$241),N($J$241))</f>
        <v>3.7083399017632179</v>
      </c>
    </row>
    <row r="242" spans="2:11" x14ac:dyDescent="0.25">
      <c r="B242" s="7" t="s">
        <v>78</v>
      </c>
      <c r="C242" s="3">
        <f>$E$39+1*$F$51</f>
        <v>145.20249999999999</v>
      </c>
      <c r="D242" s="5">
        <f>IF($C$242&gt;0,ABS($E$74)/$C$242,"—")</f>
        <v>2.5949966426197895</v>
      </c>
      <c r="E242" s="3" t="str">
        <f>IF($C$242&lt;=0,"—",IF($D$242&lt;=$C$15/6+0.000001,10*$C$242*(1+3*$D$242/$C$15)*($C$15-$B$10)/(8*$F$15*$F$8),"—"))</f>
        <v>—</v>
      </c>
      <c r="F242" s="5">
        <f>IF($D$74&lt;=0,0,IF(ABS($E$74)/$D$74&lt;=$C$15/6+0.000001,$C$15,3*($C$15/2-ABS($E$74)/$D$74)))</f>
        <v>1.1500625453361168</v>
      </c>
      <c r="G242" s="14">
        <f>IF($D$74&lt;=0,0,IF(ABS($E$74)/$D$74&lt;=$C$15/6+0.000001,$D$74/($C$15*$D$15)*(1+6*ABS($E$74)/$D$74/$C$15),2*$D$74/($D$15*$F$242)))</f>
        <v>240.28693145487622</v>
      </c>
      <c r="H242" s="3">
        <f>IF($D$74&lt;=0,0,$D$15*($G$242*(($C$15/2-0.35*$B$10)*MIN(($C$15/2-0.35*$B$10),$F$242)-MIN(($C$15/2-0.35*$B$10),$F$242)^2/2)-IF(ABS($E$74)/$D$74&lt;=$C$15/6+0.000001,12*$D$74*ABS($E$74)/$D$74/($D$15*$C$15^3),$G$242/$F$242)*(($C$15/2-0.35*$B$10)*MIN(($C$15/2-0.35*$B$10),$F$242)^2/2-MIN(($C$15/2-0.35*$B$10),$F$242)^3/3)))-1*($E$6*$E$15+$I$6*MAX($G$6-$E$15,0))*$D$15*($C$15/2-0.35*$B$10)^2/2</f>
        <v>247.83548437500002</v>
      </c>
      <c r="I242" s="15">
        <f>MAX($H$242,0)/($D$15*$F$15^2*$I$8*1000)</f>
        <v>1.4472505345061589E-2</v>
      </c>
      <c r="J242" s="3">
        <f>IF($H$242&lt;=0,0,IF($I$242&gt;=0.5,"μ ≥ 0,5",10*$H$242/($F$15*(1-0.4*1.25*(1-SQRT(1-2*$I$242)))*$F$8)))</f>
        <v>10.525097758100427</v>
      </c>
      <c r="K242" s="10">
        <f>MAX(N($E$242),N($J$242))</f>
        <v>10.525097758100427</v>
      </c>
    </row>
    <row r="243" spans="2:11" x14ac:dyDescent="0.25">
      <c r="B243" s="7" t="s">
        <v>80</v>
      </c>
      <c r="C243" s="3">
        <f>$E$40+1*$F$51</f>
        <v>127.9225</v>
      </c>
      <c r="D243" s="5">
        <f>IF($C$243&gt;0,ABS($E$75)/$C$243,"—")</f>
        <v>2.9455334284430021</v>
      </c>
      <c r="E243" s="3" t="str">
        <f>IF($C$243&lt;=0,"—",IF($D$243&lt;=$C$15/6+0.000001,10*$C$243*(1+3*$D$243/$C$15)*($C$15-$B$10)/(8*$F$15*$F$8),"—"))</f>
        <v>—</v>
      </c>
      <c r="F243" s="5">
        <f>IF($D$75&lt;=0,0,IF(ABS($E$75)/$D$75&lt;=$C$15/6+0.000001,$C$15,3*($C$15/2-ABS($E$75)/$D$75)))</f>
        <v>1.0083263543169096</v>
      </c>
      <c r="G243" s="14">
        <f>IF($D$75&lt;=0,0,IF(ABS($E$75)/$D$75&lt;=$C$15/6+0.000001,$D$75/($C$15*$D$15)*(1+6*ABS($E$75)/$D$75/$C$15),2*$D$75/($D$15*$F$243)))</f>
        <v>261.59955667470717</v>
      </c>
      <c r="H243" s="3">
        <f>IF($D$75&lt;=0,0,$D$15*($G$243*(($C$15/2-0.35*$B$10)*MIN(($C$15/2-0.35*$B$10),$F$243)-MIN(($C$15/2-0.35*$B$10),$F$243)^2/2)-IF(ABS($E$75)/$D$75&lt;=$C$15/6+0.000001,12*$D$75*ABS($E$75)/$D$75/($D$15*$C$15^3),$G$243/$F$243)*(($C$15/2-0.35*$B$10)*MIN(($C$15/2-0.35*$B$10),$F$243)^2/2-MIN(($C$15/2-0.35*$B$10),$F$243)^3/3)))-1*($E$6*$E$15+$I$6*MAX($G$6-$E$15,0))*$D$15*($C$15/2-0.35*$B$10)^2/2</f>
        <v>250.85948437500002</v>
      </c>
      <c r="I243" s="15">
        <f>MAX($H$243,0)/($D$15*$F$15^2*$I$8*1000)</f>
        <v>1.4649093682578445E-2</v>
      </c>
      <c r="J243" s="3">
        <f>IF($H$243&lt;=0,0,IF($I$243&gt;=0.5,"μ ≥ 0,5",10*$H$243/($F$15*(1-0.4*1.25*(1-SQRT(1-2*$I$243)))*$F$8)))</f>
        <v>10.654482982740449</v>
      </c>
      <c r="K243" s="10">
        <f>MAX(N($E$243),N($J$243))</f>
        <v>10.654482982740449</v>
      </c>
    </row>
    <row r="244" spans="2:11" x14ac:dyDescent="0.25">
      <c r="B244" s="7" t="s">
        <v>81</v>
      </c>
      <c r="C244" s="3">
        <f>$E$41+1*$F$51</f>
        <v>140.16249999999999</v>
      </c>
      <c r="D244" s="5">
        <f>IF($C$244&gt;0,ABS($E$76)/$C$244,"—")</f>
        <v>1.0270364755194863</v>
      </c>
      <c r="E244" s="3" t="str">
        <f>IF($C$244&lt;=0,"—",IF($D$244&lt;=$C$15/6+0.000001,10*$C$244*(1+3*$D$244/$C$15)*($C$15-$B$10)/(8*$F$15*$F$8),"—"))</f>
        <v>—</v>
      </c>
      <c r="F244" s="5">
        <f>IF($D$76&lt;=0,0,IF(ABS($E$76)/$D$76&lt;=$C$15/6+0.000001,$C$15,3*($C$15/2-ABS($E$76)/$D$76)))</f>
        <v>2.75</v>
      </c>
      <c r="G244" s="14">
        <f>IF($D$76&lt;=0,0,IF(ABS($E$76)/$D$76&lt;=$C$15/6+0.000001,$D$76/($C$15*$D$15)*(1+6*ABS($E$76)/$D$76/$C$15),2*$D$76/($D$15*$F$244)))</f>
        <v>91.10895416979713</v>
      </c>
      <c r="H244" s="3">
        <f>IF($D$76&lt;=0,0,$D$15*($G$244*(($C$15/2-0.35*$B$10)*MIN(($C$15/2-0.35*$B$10),$F$244)-MIN(($C$15/2-0.35*$B$10),$F$244)^2/2)-IF(ABS($E$76)/$D$76&lt;=$C$15/6+0.000001,12*$D$76*ABS($E$76)/$D$76/($D$15*$C$15^3),$G$244/$F$244)*(($C$15/2-0.35*$B$10)*MIN(($C$15/2-0.35*$B$10),$F$244)^2/2-MIN(($C$15/2-0.35*$B$10),$F$244)^3/3)))-1*($E$6*$E$15+$I$6*MAX($G$6-$E$15,0))*$D$15*($C$15/2-0.35*$B$10)^2/2</f>
        <v>94.0049567783621</v>
      </c>
      <c r="I244" s="15">
        <f>MAX($H$244,0)/($D$15*$F$15^2*$I$8*1000)</f>
        <v>5.4894771943898683E-3</v>
      </c>
      <c r="J244" s="3">
        <f>IF($H$244&lt;=0,0,IF($I$244&gt;=0.5,"μ ≥ 0,5",10*$H$244/($F$15*(1-0.4*1.25*(1-SQRT(1-2*$I$244)))*$F$8)))</f>
        <v>3.9740473016660904</v>
      </c>
      <c r="K244" s="10">
        <f>MAX(N($E$244),N($J$244))</f>
        <v>3.9740473016660904</v>
      </c>
    </row>
    <row r="245" spans="2:11" x14ac:dyDescent="0.25">
      <c r="B245" s="7" t="s">
        <v>82</v>
      </c>
      <c r="C245" s="3">
        <f>$E$42+1*$F$51</f>
        <v>82.5625</v>
      </c>
      <c r="D245" s="5">
        <f>IF($C$245&gt;0,ABS($E$77)/$C$245,"—")</f>
        <v>1.7435518546555639</v>
      </c>
      <c r="E245" s="3" t="str">
        <f>IF($C$245&lt;=0,"—",IF($D$245&lt;=$C$15/6+0.000001,10*$C$245*(1+3*$D$245/$C$15)*($C$15-$B$10)/(8*$F$15*$F$8),"—"))</f>
        <v>—</v>
      </c>
      <c r="F245" s="5">
        <f>IF($D$77&lt;=0,0,IF(ABS($E$77)/$D$77&lt;=$C$15/6+0.000001,$C$15,3*($C$15/2-ABS($E$77)/$D$77)))</f>
        <v>2.75</v>
      </c>
      <c r="G245" s="14">
        <f>IF($D$77&lt;=0,0,IF(ABS($E$77)/$D$77&lt;=$C$15/6+0.000001,$D$77/($C$15*$D$15)*(1+6*ABS($E$77)/$D$77/$C$15),2*$D$77/($D$15*$F$245)))</f>
        <v>83.492425244177312</v>
      </c>
      <c r="H245" s="3">
        <f>IF($D$77&lt;=0,0,$D$15*($G$245*(($C$15/2-0.35*$B$10)*MIN(($C$15/2-0.35*$B$10),$F$245)-MIN(($C$15/2-0.35*$B$10),$F$245)^2/2)-IF(ABS($E$77)/$D$77&lt;=$C$15/6+0.000001,12*$D$77*ABS($E$77)/$D$77/($D$15*$C$15^3),$G$245/$F$245)*(($C$15/2-0.35*$B$10)*MIN(($C$15/2-0.35*$B$10),$F$245)^2/2-MIN(($C$15/2-0.35*$B$10),$F$245)^3/3)))-1*($E$6*$E$15+$I$6*MAX($G$6-$E$15,0))*$D$15*($C$15/2-0.35*$B$10)^2/2</f>
        <v>78.924229505634855</v>
      </c>
      <c r="I245" s="15">
        <f>MAX($H$245,0)/($D$15*$F$15^2*$I$8*1000)</f>
        <v>4.6088288618382715E-3</v>
      </c>
      <c r="J245" s="3">
        <f>IF($H$245&lt;=0,0,IF($I$245&gt;=0.5,"μ ≥ 0,5",10*$H$245/($F$15*(1-0.4*1.25*(1-SQRT(1-2*$I$245)))*$F$8)))</f>
        <v>3.3350314808702577</v>
      </c>
      <c r="K245" s="10">
        <f>MAX(N($E$245),N($J$245))</f>
        <v>3.3350314808702577</v>
      </c>
    </row>
    <row r="246" spans="2:11" x14ac:dyDescent="0.25">
      <c r="B246" s="7" t="s">
        <v>83</v>
      </c>
      <c r="C246" s="3">
        <f>$E$43+1*$F$51</f>
        <v>55.922499999999999</v>
      </c>
      <c r="D246" s="5">
        <f>IF($C$246&gt;0,ABS($E$78)/$C$246,"—")</f>
        <v>5.1585676606017259</v>
      </c>
      <c r="E246" s="3" t="str">
        <f>IF($C$246&lt;=0,"—",IF($D$246&lt;=$C$15/6+0.000001,10*$C$246*(1+3*$D$246/$C$15)*($C$15-$B$10)/(8*$F$15*$F$8),"—"))</f>
        <v>—</v>
      </c>
      <c r="F246" s="5">
        <f>IF($D$78&lt;=0,0,IF(ABS($E$78)/$D$78&lt;=$C$15/6+0.000001,$C$15,3*($C$15/2-ABS($E$78)/$D$78)))</f>
        <v>1.1478526093771162</v>
      </c>
      <c r="G246" s="14">
        <f>IF($D$78&lt;=0,0,IF(ABS($E$78)/$D$78&lt;=$C$15/6+0.000001,$D$78/($C$15*$D$15)*(1+6*ABS($E$78)/$D$78/$C$15),2*$D$78/($D$15*$F$246)))</f>
        <v>184.18226275916649</v>
      </c>
      <c r="H246" s="3">
        <f>IF($D$78&lt;=0,0,$D$15*($G$246*(($C$15/2-0.35*$B$10)*MIN(($C$15/2-0.35*$B$10),$F$246)-MIN(($C$15/2-0.35*$B$10),$F$246)^2/2)-IF(ABS($E$78)/$D$78&lt;=$C$15/6+0.000001,12*$D$78*ABS($E$78)/$D$78/($D$15*$C$15^3),$G$246/$F$246)*(($C$15/2-0.35*$B$10)*MIN(($C$15/2-0.35*$B$10),$F$246)^2/2-MIN(($C$15/2-0.35*$B$10),$F$246)^3/3)))-1*($E$6*$E$15+$I$6*MAX($G$6-$E$15,0))*$D$15*($C$15/2-0.35*$B$10)^2/2</f>
        <v>175.13948437500005</v>
      </c>
      <c r="I246" s="15">
        <f>MAX($H$246,0)/($D$15*$F$15^2*$I$8*1000)</f>
        <v>1.0227377770946035E-2</v>
      </c>
      <c r="J246" s="3">
        <f>IF($H$246&lt;=0,0,IF($I$246&gt;=0.5,"μ ≥ 0,5",10*$H$246/($F$15*(1-0.4*1.25*(1-SQRT(1-2*$I$246)))*$F$8)))</f>
        <v>7.4217694663737062</v>
      </c>
      <c r="K246" s="10">
        <f>MAX(N($E$246),N($J$246))</f>
        <v>7.4217694663737062</v>
      </c>
    </row>
    <row r="247" spans="2:11" x14ac:dyDescent="0.25">
      <c r="B247" s="7" t="s">
        <v>84</v>
      </c>
      <c r="C247" s="3">
        <f>$E$44+1*$F$51</f>
        <v>73.202500000000001</v>
      </c>
      <c r="D247" s="5">
        <f>IF($C$247&gt;0,ABS($E$79)/$C$247,"—")</f>
        <v>3.940849014719443</v>
      </c>
      <c r="E247" s="3" t="str">
        <f>IF($C$247&lt;=0,"—",IF($D$247&lt;=$C$15/6+0.000001,10*$C$247*(1+3*$D$247/$C$15)*($C$15-$B$10)/(8*$F$15*$F$8),"—"))</f>
        <v>—</v>
      </c>
      <c r="F247" s="5">
        <f>IF($D$79&lt;=0,0,IF(ABS($E$79)/$D$79&lt;=$C$15/6+0.000001,$C$15,3*($C$15/2-ABS($E$79)/$D$79)))</f>
        <v>1.3148960749575349</v>
      </c>
      <c r="G247" s="14">
        <f>IF($D$79&lt;=0,0,IF(ABS($E$79)/$D$79&lt;=$C$15/6+0.000001,$D$79/($C$15*$D$15)*(1+6*ABS($E$79)/$D$79/$C$15),2*$D$79/($D$15*$F$247)))</f>
        <v>170.34149534867021</v>
      </c>
      <c r="H247" s="3">
        <f>IF($D$79&lt;=0,0,$D$15*($G$247*(($C$15/2-0.35*$B$10)*MIN(($C$15/2-0.35*$B$10),$F$247)-MIN(($C$15/2-0.35*$B$10),$F$247)^2/2)-IF(ABS($E$79)/$D$79&lt;=$C$15/6+0.000001,12*$D$79*ABS($E$79)/$D$79/($D$15*$C$15^3),$G$247/$F$247)*(($C$15/2-0.35*$B$10)*MIN(($C$15/2-0.35*$B$10),$F$247)^2/2-MIN(($C$15/2-0.35*$B$10),$F$247)^3/3)))-1*($E$6*$E$15+$I$6*MAX($G$6-$E$15,0))*$D$15*($C$15/2-0.35*$B$10)^2/2</f>
        <v>172.20554315263558</v>
      </c>
      <c r="I247" s="15">
        <f>MAX($H$247,0)/($D$15*$F$15^2*$I$8*1000)</f>
        <v>1.005604847106855E-2</v>
      </c>
      <c r="J247" s="3">
        <f>IF($H$247&lt;=0,0,IF($I$247&gt;=0.5,"μ ≥ 0,5",10*$H$247/($F$15*(1-0.4*1.25*(1-SQRT(1-2*$I$247)))*$F$8)))</f>
        <v>7.2968050116420269</v>
      </c>
      <c r="K247" s="10">
        <f>MAX(N($E$247),N($J$247))</f>
        <v>7.2968050116420269</v>
      </c>
    </row>
    <row r="248" spans="2:11" x14ac:dyDescent="0.25">
      <c r="B248" s="7" t="s">
        <v>85</v>
      </c>
      <c r="C248" s="3">
        <f>$E$45+1*$F$51</f>
        <v>60.962499999999999</v>
      </c>
      <c r="D248" s="5">
        <f>IF($C$248&gt;0,ABS($E$80)/$C$248,"—")</f>
        <v>0.91256100061513235</v>
      </c>
      <c r="E248" s="3" t="str">
        <f>IF($C$248&lt;=0,"—",IF($D$248&lt;=$C$15/6+0.000001,10*$C$248*(1+3*$D$248/$C$15)*($C$15-$B$10)/(8*$F$15*$F$8),"—"))</f>
        <v>—</v>
      </c>
      <c r="F248" s="5">
        <f>IF($D$80&lt;=0,0,IF(ABS($E$80)/$D$80&lt;=$C$15/6+0.000001,$C$15,3*($C$15/2-ABS($E$80)/$D$80)))</f>
        <v>2.75</v>
      </c>
      <c r="G248" s="14">
        <f>IF($D$80&lt;=0,0,IF(ABS($E$80)/$D$80&lt;=$C$15/6+0.000001,$D$80/($C$15*$D$15)*(1+6*ABS($E$80)/$D$80/$C$15),2*$D$80/($D$15*$F$248)))</f>
        <v>55.15547558226897</v>
      </c>
      <c r="H248" s="3">
        <f>IF($D$80&lt;=0,0,$D$15*($G$248*(($C$15/2-0.35*$B$10)*MIN(($C$15/2-0.35*$B$10),$F$248)-MIN(($C$15/2-0.35*$B$10),$F$248)^2/2)-IF(ABS($E$80)/$D$80&lt;=$C$15/6+0.000001,12*$D$80*ABS($E$80)/$D$80/($D$15*$C$15^3),$G$248/$F$248)*(($C$15/2-0.35*$B$10)*MIN(($C$15/2-0.35*$B$10),$F$248)^2/2-MIN(($C$15/2-0.35*$B$10),$F$248)^3/3)))-1*($E$6*$E$15+$I$6*MAX($G$6-$E$15,0))*$D$15*($C$15/2-0.35*$B$10)^2/2</f>
        <v>37.493981932381679</v>
      </c>
      <c r="I248" s="15">
        <f>MAX($H$248,0)/($D$15*$F$15^2*$I$8*1000)</f>
        <v>2.189484105928027E-3</v>
      </c>
      <c r="J248" s="3">
        <f>IF($H$248&lt;=0,0,IF($I$248&gt;=0.5,"μ ≥ 0,5",10*$H$248/($F$15*(1-0.4*1.25*(1-SQRT(1-2*$I$248)))*$F$8)))</f>
        <v>1.5824248856636309</v>
      </c>
      <c r="K248" s="10">
        <f>MAX(N($E$248),N($J$248))</f>
        <v>1.5824248856636309</v>
      </c>
    </row>
    <row r="249" spans="2:11" x14ac:dyDescent="0.25">
      <c r="B249" s="7" t="s">
        <v>86</v>
      </c>
      <c r="C249" s="3">
        <f>$E$46+1*$F$51</f>
        <v>118.5625</v>
      </c>
      <c r="D249" s="5">
        <f>IF($C$249&gt;0,ABS($E$81)/$C$249,"—")</f>
        <v>0.46922087506589355</v>
      </c>
      <c r="E249" s="3" t="str">
        <f>IF($C$249&lt;=0,"—",IF($D$249&lt;=$C$15/6+0.000001,10*$C$249*(1+3*$D$249/$C$15)*($C$15-$B$10)/(8*$F$15*$F$8),"—"))</f>
        <v>—</v>
      </c>
      <c r="F249" s="5">
        <f>IF($D$81&lt;=0,0,IF(ABS($E$81)/$D$81&lt;=$C$15/6+0.000001,$C$15,3*($C$15/2-ABS($E$81)/$D$81)))</f>
        <v>2.75</v>
      </c>
      <c r="G249" s="14">
        <f>IF($D$81&lt;=0,0,IF(ABS($E$81)/$D$81&lt;=$C$15/6+0.000001,$D$81/($C$15*$D$15)*(1+6*ABS($E$81)/$D$81/$C$15),2*$D$81/($D$15*$F$249)))</f>
        <v>62.772004507888816</v>
      </c>
      <c r="H249" s="3">
        <f>IF($D$81&lt;=0,0,$D$15*($G$249*(($C$15/2-0.35*$B$10)*MIN(($C$15/2-0.35*$B$10),$F$249)-MIN(($C$15/2-0.35*$B$10),$F$249)^2/2)-IF(ABS($E$81)/$D$81&lt;=$C$15/6+0.000001,12*$D$81*ABS($E$81)/$D$81/($D$15*$C$15^3),$G$249/$F$249)*(($C$15/2-0.35*$B$10)*MIN(($C$15/2-0.35*$B$10),$F$249)^2/2-MIN(($C$15/2-0.35*$B$10),$F$249)^3/3)))-1*($E$6*$E$15+$I$6*MAX($G$6-$E$15,0))*$D$15*($C$15/2-0.35*$B$10)^2/2</f>
        <v>52.574709205108981</v>
      </c>
      <c r="I249" s="15">
        <f>MAX($H$249,0)/($D$15*$F$15^2*$I$8*1000)</f>
        <v>3.0701324384796273E-3</v>
      </c>
      <c r="J249" s="3">
        <f>IF($H$249&lt;=0,0,IF($I$249&gt;=0.5,"μ ≥ 0,5",10*$H$249/($F$15*(1-0.4*1.25*(1-SQRT(1-2*$I$249)))*$F$8)))</f>
        <v>2.2198846373209364</v>
      </c>
      <c r="K249" s="10">
        <f>MAX(N($E$249),N($J$249))</f>
        <v>2.2198846373209364</v>
      </c>
    </row>
    <row r="251" spans="2:11" ht="20.100000000000001" customHeight="1" x14ac:dyDescent="0.25">
      <c r="B251" s="2" t="s">
        <v>157</v>
      </c>
      <c r="C251" s="23" t="s">
        <v>89</v>
      </c>
      <c r="D251" s="24"/>
      <c r="E251" s="25"/>
      <c r="F251" s="2" t="s">
        <v>158</v>
      </c>
      <c r="G251" s="2" t="s">
        <v>40</v>
      </c>
    </row>
    <row r="252" spans="2:11" x14ac:dyDescent="0.25">
      <c r="B252" s="16" t="s">
        <v>159</v>
      </c>
      <c r="C252" s="22" t="s">
        <v>160</v>
      </c>
      <c r="D252" s="19"/>
      <c r="E252" s="19"/>
      <c r="F252" s="3">
        <f>MAX($K$226:$K$249)</f>
        <v>10.654482982740449</v>
      </c>
      <c r="G252" s="6"/>
    </row>
    <row r="253" spans="2:11" x14ac:dyDescent="0.25">
      <c r="B253" s="16" t="s">
        <v>161</v>
      </c>
      <c r="C253" s="22" t="s">
        <v>162</v>
      </c>
      <c r="D253" s="19"/>
      <c r="E253" s="19"/>
      <c r="F253" s="3">
        <f>0.23*$D$15*$F$15*$D$6/$B$6*10000</f>
        <v>19.69130625</v>
      </c>
      <c r="G253" s="6"/>
    </row>
    <row r="254" spans="2:11" x14ac:dyDescent="0.25">
      <c r="B254" s="16" t="s">
        <v>163</v>
      </c>
      <c r="C254" s="22" t="s">
        <v>164</v>
      </c>
      <c r="D254" s="19"/>
      <c r="E254" s="19"/>
      <c r="F254" s="10">
        <f>MAX($F$252,$F$253)</f>
        <v>19.69130625</v>
      </c>
      <c r="G254" s="6"/>
    </row>
    <row r="255" spans="2:11" x14ac:dyDescent="0.25">
      <c r="B255" s="16" t="s">
        <v>165</v>
      </c>
      <c r="C255" s="22" t="s">
        <v>166</v>
      </c>
      <c r="D255" s="19"/>
      <c r="E255" s="19"/>
      <c r="F255" s="17">
        <v>12</v>
      </c>
      <c r="G255" s="6"/>
    </row>
    <row r="256" spans="2:11" x14ac:dyDescent="0.25">
      <c r="B256" s="16" t="s">
        <v>167</v>
      </c>
      <c r="C256" s="22" t="s">
        <v>166</v>
      </c>
      <c r="D256" s="19"/>
      <c r="E256" s="19"/>
      <c r="F256" s="8">
        <v>0.156</v>
      </c>
      <c r="G256" s="6"/>
    </row>
    <row r="257" spans="2:11" x14ac:dyDescent="0.25">
      <c r="B257" s="16" t="s">
        <v>168</v>
      </c>
      <c r="C257" s="22" t="s">
        <v>169</v>
      </c>
      <c r="D257" s="19"/>
      <c r="E257" s="19"/>
      <c r="F257" s="4">
        <f>MAX(CEILING(($D$15-2*$F$6)/$F$256-0.000000001,1)+1,2)</f>
        <v>18</v>
      </c>
      <c r="G257" s="6"/>
    </row>
    <row r="258" spans="2:11" ht="15.75" x14ac:dyDescent="0.25">
      <c r="B258" s="16" t="s">
        <v>170</v>
      </c>
      <c r="C258" s="22" t="s">
        <v>171</v>
      </c>
      <c r="D258" s="19"/>
      <c r="E258" s="19"/>
      <c r="F258" s="10">
        <f>$F$257*PI()*$F$255^2/400</f>
        <v>20.357520395261858</v>
      </c>
      <c r="G258" s="9" t="str">
        <f>IF($F$258&gt;=$F$254-0.0001,"OK","NON OK")</f>
        <v>OK</v>
      </c>
    </row>
    <row r="259" spans="2:11" ht="15.75" x14ac:dyDescent="0.25">
      <c r="B259" s="16" t="s">
        <v>172</v>
      </c>
      <c r="C259" s="22" t="s">
        <v>173</v>
      </c>
      <c r="D259" s="19"/>
      <c r="E259" s="19"/>
      <c r="F259" s="3">
        <f>MIN(2*$E$15,0.25)</f>
        <v>0.25</v>
      </c>
      <c r="G259" s="9" t="str">
        <f>IF($F$256&lt;=$F$259+0.0001,"OK","NON OK")</f>
        <v>OK</v>
      </c>
    </row>
    <row r="260" spans="2:11" x14ac:dyDescent="0.25">
      <c r="B260" s="11" t="s">
        <v>174</v>
      </c>
      <c r="C260" s="26" t="str">
        <f>$F$257&amp;" HA"&amp;$F$255&amp;"  e = "&amp;TEXT($F$256*100,"0")&amp;" cm  (As = "&amp;TEXT($F$258,"0.00")&amp;" cm²)"</f>
        <v>18 HA12  e = 16 cm  (As = 20.36 cm²)</v>
      </c>
      <c r="D260" s="27"/>
      <c r="E260" s="27"/>
      <c r="F260" s="27"/>
      <c r="G260" s="27"/>
    </row>
    <row r="262" spans="2:11" ht="20.100000000000001" customHeight="1" x14ac:dyDescent="0.25">
      <c r="B262" s="28" t="s">
        <v>175</v>
      </c>
      <c r="C262" s="29"/>
      <c r="D262" s="29"/>
      <c r="E262" s="29"/>
      <c r="F262" s="29"/>
      <c r="G262" s="29"/>
      <c r="H262" s="29"/>
      <c r="I262" s="29"/>
      <c r="J262" s="29"/>
      <c r="K262" s="29"/>
    </row>
    <row r="263" spans="2:11" ht="15" customHeight="1" x14ac:dyDescent="0.25">
      <c r="B263" s="20" t="s">
        <v>176</v>
      </c>
      <c r="C263" s="21"/>
      <c r="D263" s="21"/>
      <c r="E263" s="21"/>
      <c r="F263" s="21"/>
      <c r="G263" s="21"/>
      <c r="H263" s="21"/>
      <c r="I263" s="21"/>
      <c r="J263" s="21"/>
      <c r="K263" s="21"/>
    </row>
    <row r="264" spans="2:11" ht="45" customHeight="1" x14ac:dyDescent="0.25">
      <c r="B264" s="20" t="s">
        <v>177</v>
      </c>
      <c r="C264" s="21"/>
      <c r="D264" s="21"/>
      <c r="E264" s="21"/>
      <c r="F264" s="21"/>
      <c r="G264" s="21"/>
      <c r="H264" s="21"/>
      <c r="I264" s="21"/>
      <c r="J264" s="21"/>
      <c r="K264" s="21"/>
    </row>
    <row r="265" spans="2:11" ht="32.1" customHeight="1" x14ac:dyDescent="0.25">
      <c r="B265" s="2" t="s">
        <v>51</v>
      </c>
      <c r="C265" s="2" t="s">
        <v>141</v>
      </c>
      <c r="D265" s="2" t="s">
        <v>149</v>
      </c>
      <c r="E265" s="2" t="s">
        <v>150</v>
      </c>
      <c r="F265" s="2" t="s">
        <v>151</v>
      </c>
      <c r="G265" s="2" t="s">
        <v>152</v>
      </c>
      <c r="H265" s="2" t="s">
        <v>153</v>
      </c>
      <c r="I265" s="2" t="s">
        <v>154</v>
      </c>
      <c r="J265" s="2" t="s">
        <v>155</v>
      </c>
      <c r="K265" s="2" t="s">
        <v>156</v>
      </c>
    </row>
    <row r="266" spans="2:11" x14ac:dyDescent="0.25">
      <c r="B266" s="7" t="s">
        <v>59</v>
      </c>
      <c r="C266" s="3">
        <f>$E$23+1.35*$F$51</f>
        <v>168.609375</v>
      </c>
      <c r="D266" s="5">
        <f>IF($C$266&gt;0,ABS($F$58)/$C$266,"—")</f>
        <v>0</v>
      </c>
      <c r="E266" s="3">
        <f>IF($C$266&lt;=0,"—",IF($D$266&lt;=$D$15/6+0.000001,10*$C$266*(1+3*$D$266/$D$15)*($D$15-$C$10)/(8*$G$15*$E$8),"—"))</f>
        <v>2.3546888914750652</v>
      </c>
      <c r="F266" s="5">
        <f>IF($D$58&lt;=0,0,IF(ABS($F$58)/$D$58&lt;=$D$15/6+0.000001,$D$15,3*($D$15/2-ABS($F$58)/$D$58)))</f>
        <v>2.75</v>
      </c>
      <c r="G266" s="14">
        <f>IF($D$58&lt;=0,0,IF(ABS($F$58)/$D$58&lt;=$D$15/6+0.000001,$D$58/($D$15*$C$15)*(1+6*ABS($F$58)/$D$58/$D$15),2*$D$58/($C$15*$F$266)))</f>
        <v>64.205144628099177</v>
      </c>
      <c r="H266" s="3">
        <f>IF($D$58&lt;=0,0,$C$15*($G$266*(($D$15/2-0.35*$C$10)*MIN(($D$15/2-0.35*$C$10),$F$266)-MIN(($D$15/2-0.35*$C$10),$F$266)^2/2)-IF(ABS($F$58)/$D$58&lt;=$D$15/6+0.000001,12*$D$58*ABS($F$58)/$D$58/($C$15*$D$15^3),$G$266/$F$266)*(($D$15/2-0.35*$C$10)*MIN(($D$15/2-0.35*$C$10),$F$266)^2/2-MIN(($D$15/2-0.35*$C$10),$F$266)^3/3)))-1.35*($E$6*$E$15+$I$6*MAX($G$6-$E$15,0))*$C$15*($D$15/2-0.35*$C$10)^2/2</f>
        <v>42.793036363636375</v>
      </c>
      <c r="I266" s="15">
        <f>MAX($H$266,0)/($C$15*$G$15^2*$H$8*1000)</f>
        <v>3.2765409956485555E-3</v>
      </c>
      <c r="J266" s="3">
        <f>IF($H$266&lt;=0,0,IF($I$266&gt;=0.5,"μ ≥ 0,5",10*$H$266/($G$15*(1-0.4*1.25*(1-SQRT(1-2*$I$266)))*$E$8)))</f>
        <v>2.1283626780023841</v>
      </c>
      <c r="K266" s="10">
        <f>MAX(N($E$266),N($J$266))</f>
        <v>2.3546888914750652</v>
      </c>
    </row>
    <row r="267" spans="2:11" x14ac:dyDescent="0.25">
      <c r="B267" s="7" t="s">
        <v>62</v>
      </c>
      <c r="C267" s="3">
        <f>$E$24+1.35*$F$51</f>
        <v>183.609375</v>
      </c>
      <c r="D267" s="5">
        <f>IF($C$267&gt;0,ABS($F$59)/$C$267,"—")</f>
        <v>0</v>
      </c>
      <c r="E267" s="3">
        <f>IF($C$267&lt;=0,"—",IF($D$267&lt;=$D$15/6+0.000001,10*$C$267*(1+3*$D$267/$D$15)*($D$15-$C$10)/(8*$G$15*$E$8),"—"))</f>
        <v>2.5641691375890545</v>
      </c>
      <c r="F267" s="5">
        <f>IF($D$59&lt;=0,0,IF(ABS($F$59)/$D$59&lt;=$D$15/6+0.000001,$D$15,3*($D$15/2-ABS($F$59)/$D$59)))</f>
        <v>2.75</v>
      </c>
      <c r="G267" s="14">
        <f>IF($D$59&lt;=0,0,IF(ABS($F$59)/$D$59&lt;=$D$15/6+0.000001,$D$59/($D$15*$C$15)*(1+6*ABS($F$59)/$D$59/$D$15),2*$D$59/($C$15*$F$267)))</f>
        <v>66.188615702479339</v>
      </c>
      <c r="H267" s="3">
        <f>IF($D$59&lt;=0,0,$C$15*($G$267*(($D$15/2-0.35*$C$10)*MIN(($D$15/2-0.35*$C$10),$F$267)-MIN(($D$15/2-0.35*$C$10),$F$267)^2/2)-IF(ABS($F$59)/$D$59&lt;=$D$15/6+0.000001,12*$D$59*ABS($F$59)/$D$59/($C$15*$D$15^3),$G$267/$F$267)*(($D$15/2-0.35*$C$10)*MIN(($D$15/2-0.35*$C$10),$F$267)^2/2-MIN(($D$15/2-0.35*$C$10),$F$267)^3/3)))-1.35*($E$6*$E$15+$I$6*MAX($G$6-$E$15,0))*$C$15*($D$15/2-0.35*$C$10)^2/2</f>
        <v>46.720309090909083</v>
      </c>
      <c r="I267" s="15">
        <f>MAX($H$267,0)/($C$15*$G$15^2*$H$8*1000)</f>
        <v>3.5772410904643579E-3</v>
      </c>
      <c r="J267" s="3">
        <f>IF($H$267&lt;=0,0,IF($I$267&gt;=0.5,"μ ≥ 0,5",10*$H$267/($G$15*(1-0.4*1.25*(1-SQRT(1-2*$I$267)))*$E$8)))</f>
        <v>2.3240414685443782</v>
      </c>
      <c r="K267" s="10">
        <f>MAX(N($E$267),N($J$267))</f>
        <v>2.5641691375890545</v>
      </c>
    </row>
    <row r="268" spans="2:11" x14ac:dyDescent="0.25">
      <c r="B268" s="7" t="s">
        <v>63</v>
      </c>
      <c r="C268" s="3">
        <f>$E$25+1.35*$F$51</f>
        <v>-18.890625</v>
      </c>
      <c r="D268" s="5" t="str">
        <f>IF($C$268&gt;0,ABS($F$60)/$C$268,"—")</f>
        <v>—</v>
      </c>
      <c r="E268" s="3" t="str">
        <f>IF($C$268&lt;=0,"—",IF($D$268&lt;=$D$15/6+0.000001,10*$C$268*(1+3*$D$268/$D$15)*($D$15-$C$10)/(8*$G$15*$E$8),"—"))</f>
        <v>—</v>
      </c>
      <c r="F268" s="5">
        <f>IF($D$60&lt;=0,0,IF(ABS($F$60)/$D$60&lt;=$D$15/6+0.000001,$D$15,3*($D$15/2-ABS($F$60)/$D$60)))</f>
        <v>2.75</v>
      </c>
      <c r="G268" s="14">
        <f>IF($D$60&lt;=0,0,IF(ABS($F$60)/$D$60&lt;=$D$15/6+0.000001,$D$60/($D$15*$C$15)*(1+6*ABS($F$60)/$D$60/$D$15),2*$D$60/($C$15*$F$268)))</f>
        <v>39.411756198347106</v>
      </c>
      <c r="H268" s="3">
        <f>IF($D$60&lt;=0,0,$C$15*($G$268*(($D$15/2-0.35*$C$10)*MIN(($D$15/2-0.35*$C$10),$F$268)-MIN(($D$15/2-0.35*$C$10),$F$268)^2/2)-IF(ABS($F$60)/$D$60&lt;=$D$15/6+0.000001,12*$D$60*ABS($F$60)/$D$60/($C$15*$D$15^3),$G$268/$F$268)*(($D$15/2-0.35*$C$10)*MIN(($D$15/2-0.35*$C$10),$F$268)^2/2-MIN(($D$15/2-0.35*$C$10),$F$268)^3/3)))-1.35*($E$6*$E$15+$I$6*MAX($G$6-$E$15,0))*$C$15*($D$15/2-0.35*$C$10)^2/2</f>
        <v>-6.2978727272727326</v>
      </c>
      <c r="I268" s="15">
        <f>MAX($H$268,0)/($C$15*$G$15^2*$H$8*1000)</f>
        <v>0</v>
      </c>
      <c r="J268" s="3">
        <f>IF($H$268&lt;=0,0,IF($I$268&gt;=0.5,"μ ≥ 0,5",10*$H$268/($G$15*(1-0.4*1.25*(1-SQRT(1-2*$I$268)))*$E$8)))</f>
        <v>0</v>
      </c>
      <c r="K268" s="10">
        <f>MAX(N($E$268),N($J$268))</f>
        <v>0</v>
      </c>
    </row>
    <row r="269" spans="2:11" x14ac:dyDescent="0.25">
      <c r="B269" s="7" t="s">
        <v>64</v>
      </c>
      <c r="C269" s="3">
        <f>$E$26+1.35*$F$51</f>
        <v>63.609375</v>
      </c>
      <c r="D269" s="5">
        <f>IF($C$269&gt;0,ABS($F$61)/$C$269,"—")</f>
        <v>1.1908621960206338</v>
      </c>
      <c r="E269" s="3" t="str">
        <f>IF($C$269&lt;=0,"—",IF($D$269&lt;=$D$15/6+0.000001,10*$C$269*(1+3*$D$269/$D$15)*($D$15-$C$10)/(8*$G$15*$E$8),"—"))</f>
        <v>—</v>
      </c>
      <c r="F269" s="5">
        <f>IF($D$61&lt;=0,0,IF(ABS($F$61)/$D$61&lt;=$D$15/6+0.000001,$D$15,3*($D$15/2-ABS($F$61)/$D$61)))</f>
        <v>2.75</v>
      </c>
      <c r="G269" s="14">
        <f>IF($D$61&lt;=0,0,IF(ABS($F$61)/$D$61&lt;=$D$15/6+0.000001,$D$61/($D$15*$C$15)*(1+6*ABS($F$61)/$D$61/$D$15),2*$D$61/($C$15*$F$269)))</f>
        <v>72.17509203606312</v>
      </c>
      <c r="H269" s="3">
        <f>IF($D$61&lt;=0,0,$C$15*($G$269*(($D$15/2-0.35*$C$10)*MIN(($D$15/2-0.35*$C$10),$F$269)-MIN(($D$15/2-0.35*$C$10),$F$269)^2/2)-IF(ABS($F$61)/$D$61&lt;=$D$15/6+0.000001,12*$D$61*ABS($F$61)/$D$61/($C$15*$D$15^3),$G$269/$F$269)*(($D$15/2-0.35*$C$10)*MIN(($D$15/2-0.35*$C$10),$F$269)^2/2-MIN(($D$15/2-0.35*$C$10),$F$269)^3/3)))-1.35*($E$6*$E$15+$I$6*MAX($G$6-$E$15,0))*$C$15*($D$15/2-0.35*$C$10)^2/2</f>
        <v>45.98548715251691</v>
      </c>
      <c r="I269" s="15">
        <f>MAX($H$269,0)/($C$15*$G$15^2*$H$8*1000)</f>
        <v>3.5209778661120465E-3</v>
      </c>
      <c r="J269" s="3">
        <f>IF($H$269&lt;=0,0,IF($I$269&gt;=0.5,"μ ≥ 0,5",10*$H$269/($G$15*(1-0.4*1.25*(1-SQRT(1-2*$I$269)))*$E$8)))</f>
        <v>2.2874240052857759</v>
      </c>
      <c r="K269" s="10">
        <f>MAX(N($E$269),N($J$269))</f>
        <v>2.2874240052857759</v>
      </c>
    </row>
    <row r="270" spans="2:11" x14ac:dyDescent="0.25">
      <c r="B270" s="7" t="s">
        <v>65</v>
      </c>
      <c r="C270" s="3">
        <f>$E$27+1*$F$51</f>
        <v>-50.9375</v>
      </c>
      <c r="D270" s="5" t="str">
        <f>IF($C$270&gt;0,ABS($F$62)/$C$270,"—")</f>
        <v>—</v>
      </c>
      <c r="E270" s="3" t="str">
        <f>IF($C$270&lt;=0,"—",IF($D$270&lt;=$D$15/6+0.000001,10*$C$270*(1+3*$D$270/$D$15)*($D$15-$C$10)/(8*$G$15*$E$8),"—"))</f>
        <v>—</v>
      </c>
      <c r="F270" s="5">
        <f>IF($D$62&lt;=0,0,IF(ABS($F$62)/$D$62&lt;=$D$15/6+0.000001,$D$15,3*($D$15/2-ABS($F$62)/$D$62)))</f>
        <v>2.75</v>
      </c>
      <c r="G270" s="14">
        <f>IF($D$62&lt;=0,0,IF(ABS($F$62)/$D$62&lt;=$D$15/6+0.000001,$D$62/($D$15*$C$15)*(1+6*ABS($F$62)/$D$62/$D$15),2*$D$62/($C$15*$F$270)))</f>
        <v>24.308677685950414</v>
      </c>
      <c r="H270" s="3">
        <f>IF($D$62&lt;=0,0,$C$15*($G$270*(($D$15/2-0.35*$C$10)*MIN(($D$15/2-0.35*$C$10),$F$270)-MIN(($D$15/2-0.35*$C$10),$F$270)^2/2)-IF(ABS($F$62)/$D$62&lt;=$D$15/6+0.000001,12*$D$62*ABS($F$62)/$D$62/($C$15*$D$15^3),$G$270/$F$270)*(($D$15/2-0.35*$C$10)*MIN(($D$15/2-0.35*$C$10),$F$270)^2/2-MIN(($D$15/2-0.35*$C$10),$F$270)^3/3)))-1*($E$6*$E$15+$I$6*MAX($G$6-$E$15,0))*$C$15*($D$15/2-0.35*$C$10)^2/2</f>
        <v>-14.337818181818164</v>
      </c>
      <c r="I270" s="15">
        <f>MAX($H$270,0)/($C$15*$G$15^2*$H$8*1000)</f>
        <v>0</v>
      </c>
      <c r="J270" s="3">
        <f>IF($H$270&lt;=0,0,IF($I$270&gt;=0.5,"μ ≥ 0,5",10*$H$270/($G$15*(1-0.4*1.25*(1-SQRT(1-2*$I$270)))*$E$8)))</f>
        <v>0</v>
      </c>
      <c r="K270" s="10">
        <f>MAX(N($E$270),N($J$270))</f>
        <v>0</v>
      </c>
    </row>
    <row r="271" spans="2:11" x14ac:dyDescent="0.25">
      <c r="B271" s="7" t="s">
        <v>66</v>
      </c>
      <c r="C271" s="3">
        <f>$E$28+1*$F$51</f>
        <v>31.5625</v>
      </c>
      <c r="D271" s="5">
        <f>IF($C$271&gt;0,ABS($F$63)/$C$271,"—")</f>
        <v>2.4</v>
      </c>
      <c r="E271" s="3" t="str">
        <f>IF($C$271&lt;=0,"—",IF($D$271&lt;=$D$15/6+0.000001,10*$C$271*(1+3*$D$271/$D$15)*($D$15-$C$10)/(8*$G$15*$E$8),"—"))</f>
        <v>—</v>
      </c>
      <c r="F271" s="5">
        <f>IF($D$63&lt;=0,0,IF(ABS($F$63)/$D$63&lt;=$D$15/6+0.000001,$D$15,3*($D$15/2-ABS($F$63)/$D$63)))</f>
        <v>2.75</v>
      </c>
      <c r="G271" s="14">
        <f>IF($D$63&lt;=0,0,IF(ABS($F$63)/$D$63&lt;=$D$15/6+0.000001,$D$63/($D$15*$C$15)*(1+6*ABS($F$63)/$D$63/$D$15),2*$D$63/($C$15*$F$271)))</f>
        <v>57.072013523666428</v>
      </c>
      <c r="H271" s="3">
        <f>IF($D$63&lt;=0,0,$C$15*($G$271*(($D$15/2-0.35*$C$10)*MIN(($D$15/2-0.35*$C$10),$F$271)-MIN(($D$15/2-0.35*$C$10),$F$271)^2/2)-IF(ABS($F$63)/$D$63&lt;=$D$15/6+0.000001,12*$D$63*ABS($F$63)/$D$63/($C$15*$D$15^3),$G$271/$F$271)*(($D$15/2-0.35*$C$10)*MIN(($D$15/2-0.35*$C$10),$F$271)^2/2-MIN(($D$15/2-0.35*$C$10),$F$271)^3/3)))-1*($E$6*$E$15+$I$6*MAX($G$6-$E$15,0))*$C$15*($D$15/2-0.35*$C$10)^2/2</f>
        <v>37.945541697971485</v>
      </c>
      <c r="I271" s="15">
        <f>MAX($H$271,0)/($C$15*$G$15^2*$H$8*1000)</f>
        <v>2.9053821261710118E-3</v>
      </c>
      <c r="J271" s="3">
        <f>IF($H$271&lt;=0,0,IF($I$271&gt;=0.5,"μ ≥ 0,5",10*$H$271/($G$15*(1-0.4*1.25*(1-SQRT(1-2*$I$271)))*$E$8)))</f>
        <v>1.8869149146316762</v>
      </c>
      <c r="K271" s="10">
        <f>MAX(N($E$271),N($J$271))</f>
        <v>1.8869149146316762</v>
      </c>
    </row>
    <row r="272" spans="2:11" x14ac:dyDescent="0.25">
      <c r="B272" s="7" t="s">
        <v>67</v>
      </c>
      <c r="C272" s="3">
        <f>$E$29+1.35*$F$51</f>
        <v>35.859375</v>
      </c>
      <c r="D272" s="5">
        <f>IF($C$272&gt;0,ABS($F$64)/$C$272,"—")</f>
        <v>0</v>
      </c>
      <c r="E272" s="3">
        <f>IF($C$272&lt;=0,"—",IF($D$272&lt;=$D$15/6+0.000001,10*$C$272*(1+3*$D$272/$D$15)*($D$15-$C$10)/(8*$G$15*$E$8),"—"))</f>
        <v>0.50078871336625652</v>
      </c>
      <c r="F272" s="5">
        <f>IF($D$64&lt;=0,0,IF(ABS($F$64)/$D$64&lt;=$D$15/6+0.000001,$D$15,3*($D$15/2-ABS($F$64)/$D$64)))</f>
        <v>2.75</v>
      </c>
      <c r="G272" s="14">
        <f>IF($D$64&lt;=0,0,IF(ABS($F$64)/$D$64&lt;=$D$15/6+0.000001,$D$64/($D$15*$C$15)*(1+6*ABS($F$64)/$D$64/$D$15),2*$D$64/($C$15*$F$272)))</f>
        <v>46.651425619834711</v>
      </c>
      <c r="H272" s="3">
        <f>IF($D$64&lt;=0,0,$C$15*($G$272*(($D$15/2-0.35*$C$10)*MIN(($D$15/2-0.35*$C$10),$F$272)-MIN(($D$15/2-0.35*$C$10),$F$272)^2/2)-IF(ABS($F$64)/$D$64&lt;=$D$15/6+0.000001,12*$D$64*ABS($F$64)/$D$64/($C$15*$D$15^3),$G$272/$F$272)*(($D$15/2-0.35*$C$10)*MIN(($D$15/2-0.35*$C$10),$F$272)^2/2-MIN(($D$15/2-0.35*$C$10),$F$272)^3/3)))-1.35*($E$6*$E$15+$I$6*MAX($G$6-$E$15,0))*$C$15*($D$15/2-0.35*$C$10)^2/2</f>
        <v>8.0366727272727161</v>
      </c>
      <c r="I272" s="15">
        <f>MAX($H$272,0)/($C$15*$G$15^2*$H$8*1000)</f>
        <v>6.1534515652868975E-4</v>
      </c>
      <c r="J272" s="3">
        <f>IF($H$272&lt;=0,0,IF($I$272&gt;=0.5,"μ ≥ 0,5",10*$H$272/($G$15*(1-0.4*1.25*(1-SQRT(1-2*$I$272)))*$E$8)))</f>
        <v>0.39918043829339828</v>
      </c>
      <c r="K272" s="10">
        <f>MAX(N($E$272),N($J$272))</f>
        <v>0.50078871336625652</v>
      </c>
    </row>
    <row r="273" spans="2:11" x14ac:dyDescent="0.25">
      <c r="B273" s="7" t="s">
        <v>68</v>
      </c>
      <c r="C273" s="3">
        <f>$E$30+1.35*$F$51</f>
        <v>110.109375</v>
      </c>
      <c r="D273" s="5">
        <f>IF($C$273&gt;0,ABS($F$65)/$C$273,"—")</f>
        <v>0.61915708812260539</v>
      </c>
      <c r="E273" s="3" t="str">
        <f>IF($C$273&lt;=0,"—",IF($D$273&lt;=$D$15/6+0.000001,10*$C$273*(1+3*$D$273/$D$15)*($D$15-$C$10)/(8*$G$15*$E$8),"—"))</f>
        <v>—</v>
      </c>
      <c r="F273" s="5">
        <f>IF($D$65&lt;=0,0,IF(ABS($F$65)/$D$65&lt;=$D$15/6+0.000001,$D$15,3*($D$15/2-ABS($F$65)/$D$65)))</f>
        <v>2.75</v>
      </c>
      <c r="G273" s="14">
        <f>IF($D$65&lt;=0,0,IF(ABS($F$65)/$D$65&lt;=$D$15/6+0.000001,$D$65/($D$15*$C$15)*(1+6*ABS($F$65)/$D$65/$D$15),2*$D$65/($C$15*$F$273)))</f>
        <v>76.138427873779108</v>
      </c>
      <c r="H273" s="3">
        <f>IF($D$65&lt;=0,0,$C$15*($G$273*(($D$15/2-0.35*$C$10)*MIN(($D$15/2-0.35*$C$10),$F$273)-MIN(($D$15/2-0.35*$C$10),$F$273)^2/2)-IF(ABS($F$65)/$D$65&lt;=$D$15/6+0.000001,12*$D$65*ABS($F$65)/$D$65/($C$15*$D$15^3),$G$273/$F$273)*(($D$15/2-0.35*$C$10)*MIN(($D$15/2-0.35*$C$10),$F$273)^2/2-MIN(($D$15/2-0.35*$C$10),$F$273)^3/3)))-1.35*($E$6*$E$15+$I$6*MAX($G$6-$E$15,0))*$C$15*($D$15/2-0.35*$C$10)^2/2</f>
        <v>55.091696619083379</v>
      </c>
      <c r="I273" s="15">
        <f>MAX($H$273,0)/($C$15*$G$15^2*$H$8*1000)</f>
        <v>4.218214406623625E-3</v>
      </c>
      <c r="J273" s="3">
        <f>IF($H$273&lt;=0,0,IF($I$273&gt;=0.5,"μ ≥ 0,5",10*$H$273/($G$15*(1-0.4*1.25*(1-SQRT(1-2*$I$273)))*$E$8)))</f>
        <v>2.7413489288531334</v>
      </c>
      <c r="K273" s="10">
        <f>MAX(N($E$273),N($J$273))</f>
        <v>2.7413489288531334</v>
      </c>
    </row>
    <row r="274" spans="2:11" x14ac:dyDescent="0.25">
      <c r="B274" s="7" t="s">
        <v>69</v>
      </c>
      <c r="C274" s="3">
        <f>$E$31+1.35*$F$51</f>
        <v>49.359375</v>
      </c>
      <c r="D274" s="5">
        <f>IF($C$274&gt;0,ABS($F$66)/$C$274,"—")</f>
        <v>0</v>
      </c>
      <c r="E274" s="3">
        <f>IF($C$274&lt;=0,"—",IF($D$274&lt;=$D$15/6+0.000001,10*$C$274*(1+3*$D$274/$D$15)*($D$15-$C$10)/(8*$G$15*$E$8),"—"))</f>
        <v>0.68932093486884727</v>
      </c>
      <c r="F274" s="5">
        <f>IF($D$66&lt;=0,0,IF(ABS($F$66)/$D$66&lt;=$D$15/6+0.000001,$D$15,3*($D$15/2-ABS($F$66)/$D$66)))</f>
        <v>2.75</v>
      </c>
      <c r="G274" s="14">
        <f>IF($D$66&lt;=0,0,IF(ABS($F$66)/$D$66&lt;=$D$15/6+0.000001,$D$66/($D$15*$C$15)*(1+6*ABS($F$66)/$D$66/$D$15),2*$D$66/($C$15*$F$274)))</f>
        <v>48.436549586776863</v>
      </c>
      <c r="H274" s="3">
        <f>IF($D$66&lt;=0,0,$C$15*($G$274*(($D$15/2-0.35*$C$10)*MIN(($D$15/2-0.35*$C$10),$F$274)-MIN(($D$15/2-0.35*$C$10),$F$274)^2/2)-IF(ABS($F$66)/$D$66&lt;=$D$15/6+0.000001,12*$D$66*ABS($F$66)/$D$66/($C$15*$D$15^3),$G$274/$F$274)*(($D$15/2-0.35*$C$10)*MIN(($D$15/2-0.35*$C$10),$F$274)^2/2-MIN(($D$15/2-0.35*$C$10),$F$274)^3/3)))-1.35*($E$6*$E$15+$I$6*MAX($G$6-$E$15,0))*$C$15*($D$15/2-0.35*$C$10)^2/2</f>
        <v>11.571218181818196</v>
      </c>
      <c r="I274" s="15">
        <f>MAX($H$274,0)/($C$15*$G$15^2*$H$8*1000)</f>
        <v>8.8597524186291511E-4</v>
      </c>
      <c r="J274" s="3">
        <f>IF($H$274&lt;=0,0,IF($I$274&gt;=0.5,"μ ≥ 0,5",10*$H$274/($G$15*(1-0.4*1.25*(1-SQRT(1-2*$I$274)))*$E$8)))</f>
        <v>0.57481869300076915</v>
      </c>
      <c r="K274" s="10">
        <f>MAX(N($E$274),N($J$274))</f>
        <v>0.68932093486884727</v>
      </c>
    </row>
    <row r="275" spans="2:11" x14ac:dyDescent="0.25">
      <c r="B275" s="7" t="s">
        <v>70</v>
      </c>
      <c r="C275" s="3">
        <f>$E$32+1.35*$F$51</f>
        <v>123.609375</v>
      </c>
      <c r="D275" s="5">
        <f>IF($C$275&gt;0,ABS($F$67)/$C$275,"—")</f>
        <v>0.55153583617747437</v>
      </c>
      <c r="E275" s="3" t="str">
        <f>IF($C$275&lt;=0,"—",IF($D$275&lt;=$D$15/6+0.000001,10*$C$275*(1+3*$D$275/$D$15)*($D$15-$C$10)/(8*$G$15*$E$8),"—"))</f>
        <v>—</v>
      </c>
      <c r="F275" s="5">
        <f>IF($D$67&lt;=0,0,IF(ABS($F$67)/$D$67&lt;=$D$15/6+0.000001,$D$15,3*($D$15/2-ABS($F$67)/$D$67)))</f>
        <v>2.75</v>
      </c>
      <c r="G275" s="14">
        <f>IF($D$67&lt;=0,0,IF(ABS($F$67)/$D$67&lt;=$D$15/6+0.000001,$D$67/($D$15*$C$15)*(1+6*ABS($F$67)/$D$67/$D$15),2*$D$67/($C$15*$F$275)))</f>
        <v>77.92355184072126</v>
      </c>
      <c r="H275" s="3">
        <f>IF($D$67&lt;=0,0,$C$15*($G$275*(($D$15/2-0.35*$C$10)*MIN(($D$15/2-0.35*$C$10),$F$275)-MIN(($D$15/2-0.35*$C$10),$F$275)^2/2)-IF(ABS($F$67)/$D$67&lt;=$D$15/6+0.000001,12*$D$67*ABS($F$67)/$D$67/($C$15*$D$15^3),$G$275/$F$275)*(($D$15/2-0.35*$C$10)*MIN(($D$15/2-0.35*$C$10),$F$275)^2/2-MIN(($D$15/2-0.35*$C$10),$F$275)^3/3)))-1.35*($E$6*$E$15+$I$6*MAX($G$6-$E$15,0))*$C$15*($D$15/2-0.35*$C$10)^2/2</f>
        <v>58.626242073628831</v>
      </c>
      <c r="I275" s="15">
        <f>MAX($H$275,0)/($C$15*$G$15^2*$H$8*1000)</f>
        <v>4.4888444919578482E-3</v>
      </c>
      <c r="J275" s="3">
        <f>IF($H$275&lt;=0,0,IF($I$275&gt;=0.5,"μ ≥ 0,5",10*$H$275/($G$15*(1-0.4*1.25*(1-SQRT(1-2*$I$275)))*$E$8)))</f>
        <v>2.9176243876212609</v>
      </c>
      <c r="K275" s="10">
        <f>MAX(N($E$275),N($J$275))</f>
        <v>2.9176243876212609</v>
      </c>
    </row>
    <row r="276" spans="2:11" x14ac:dyDescent="0.25">
      <c r="B276" s="7" t="s">
        <v>71</v>
      </c>
      <c r="C276" s="3">
        <f>$E$33+1*$F$51</f>
        <v>121.5625</v>
      </c>
      <c r="D276" s="5">
        <f>IF($C$276&gt;0,ABS($F$68)/$C$276,"—")</f>
        <v>0</v>
      </c>
      <c r="E276" s="3">
        <f>IF($C$276&lt;=0,"—",IF($D$276&lt;=$D$15/6+0.000001,10*$C$276*(1+3*$D$276/$D$15)*($D$15-$C$10)/(8*$G$15*$G$8),"—"))</f>
        <v>2.9285407164624959</v>
      </c>
      <c r="F276" s="5">
        <f>IF($D$68&lt;=0,0,IF(ABS($F$68)/$D$68&lt;=$D$15/6+0.000001,$D$15,3*($D$15/2-ABS($F$68)/$D$68)))</f>
        <v>2.75</v>
      </c>
      <c r="G276" s="14">
        <f>IF($D$68&lt;=0,0,IF(ABS($F$68)/$D$68&lt;=$D$15/6+0.000001,$D$68/($D$15*$C$15)*(1+6*ABS($F$68)/$D$68/$D$15),2*$D$68/($C$15*$F$276)))</f>
        <v>47.118595041322315</v>
      </c>
      <c r="H276" s="3">
        <f>IF($D$68&lt;=0,0,$C$15*($G$276*(($D$15/2-0.35*$C$10)*MIN(($D$15/2-0.35*$C$10),$F$276)-MIN(($D$15/2-0.35*$C$10),$F$276)^2/2)-IF(ABS($F$68)/$D$68&lt;=$D$15/6+0.000001,12*$D$68*ABS($F$68)/$D$68/($C$15*$D$15^3),$G$276/$F$276)*(($D$15/2-0.35*$C$10)*MIN(($D$15/2-0.35*$C$10),$F$276)^2/2-MIN(($D$15/2-0.35*$C$10),$F$276)^3/3)))-1*($E$6*$E$15+$I$6*MAX($G$6-$E$15,0))*$C$15*($D$15/2-0.35*$C$10)^2/2</f>
        <v>30.8258181818182</v>
      </c>
      <c r="I276" s="15">
        <f>MAX($H$276,0)/($C$15*$G$15^2*$G$8*1000)</f>
        <v>1.6582975815608908E-4</v>
      </c>
      <c r="J276" s="3">
        <f>IF($H$276&lt;=0,0,10*$H$276/($G$15*(1-(1+2*SQRT((3+90*$I$276)/3)*COS(ACOS((3/(3+90*$I$276))*SQRT(3/(3+90*$I$276)))/3-2*PI()/3))/3)*$G$8))</f>
        <v>2.7024510569079503</v>
      </c>
      <c r="K276" s="10">
        <f>MAX(N($E$276),N($J$276))</f>
        <v>2.9285407164624959</v>
      </c>
    </row>
    <row r="277" spans="2:11" x14ac:dyDescent="0.25">
      <c r="B277" s="7" t="s">
        <v>73</v>
      </c>
      <c r="C277" s="3">
        <f>$E$34+1*$F$51</f>
        <v>131.5625</v>
      </c>
      <c r="D277" s="5">
        <f>IF($C$277&gt;0,ABS($F$69)/$C$277,"—")</f>
        <v>0</v>
      </c>
      <c r="E277" s="3">
        <f>IF($C$277&lt;=0,"—",IF($D$277&lt;=$D$15/6+0.000001,10*$C$277*(1+3*$D$277/$D$15)*($D$15-$C$10)/(8*$G$15*$G$8),"—"))</f>
        <v>3.169448950207483</v>
      </c>
      <c r="F277" s="5">
        <f>IF($D$69&lt;=0,0,IF(ABS($F$69)/$D$69&lt;=$D$15/6+0.000001,$D$15,3*($D$15/2-ABS($F$69)/$D$69)))</f>
        <v>2.75</v>
      </c>
      <c r="G277" s="14">
        <f>IF($D$69&lt;=0,0,IF(ABS($F$69)/$D$69&lt;=$D$15/6+0.000001,$D$69/($D$15*$C$15)*(1+6*ABS($F$69)/$D$69/$D$15),2*$D$69/($C$15*$F$277)))</f>
        <v>48.440909090909095</v>
      </c>
      <c r="H277" s="3">
        <f>IF($D$69&lt;=0,0,$C$15*($G$277*(($D$15/2-0.35*$C$10)*MIN(($D$15/2-0.35*$C$10),$F$277)-MIN(($D$15/2-0.35*$C$10),$F$277)^2/2)-IF(ABS($F$69)/$D$69&lt;=$D$15/6+0.000001,12*$D$69*ABS($F$69)/$D$69/($C$15*$D$15^3),$G$277/$F$277)*(($D$15/2-0.35*$C$10)*MIN(($D$15/2-0.35*$C$10),$F$277)^2/2-MIN(($D$15/2-0.35*$C$10),$F$277)^3/3)))-1*($E$6*$E$15+$I$6*MAX($G$6-$E$15,0))*$C$15*($D$15/2-0.35*$C$10)^2/2</f>
        <v>33.444000000000024</v>
      </c>
      <c r="I277" s="15">
        <f>MAX($H$277,0)/($C$15*$G$15^2*$G$8*1000)</f>
        <v>1.7991445998482585E-4</v>
      </c>
      <c r="J277" s="3">
        <f>IF($H$277&lt;=0,0,10*$H$277/($G$15*(1-(1+2*SQRT((3+90*$I$277)/3)*COS(ACOS((3/(3+90*$I$277))*SQRT(3/(3+90*$I$277)))/3-2*PI()/3))/3)*$G$8))</f>
        <v>2.9347775026048195</v>
      </c>
      <c r="K277" s="10">
        <f>MAX(N($E$277),N($J$277))</f>
        <v>3.169448950207483</v>
      </c>
    </row>
    <row r="278" spans="2:11" x14ac:dyDescent="0.25">
      <c r="B278" s="7" t="s">
        <v>74</v>
      </c>
      <c r="C278" s="3">
        <f>$E$35+1*$F$51</f>
        <v>-3.4375</v>
      </c>
      <c r="D278" s="5" t="str">
        <f>IF($C$278&gt;0,ABS($F$70)/$C$278,"—")</f>
        <v>—</v>
      </c>
      <c r="E278" s="3" t="str">
        <f>IF($C$278&lt;=0,"—",IF($D$278&lt;=$D$15/6+0.000001,10*$C$278*(1+3*$D$278/$D$15)*($D$15-$C$10)/(8*$G$15*$G$8),"—"))</f>
        <v>—</v>
      </c>
      <c r="F278" s="5">
        <f>IF($D$70&lt;=0,0,IF(ABS($F$70)/$D$70&lt;=$D$15/6+0.000001,$D$15,3*($D$15/2-ABS($F$70)/$D$70)))</f>
        <v>2.75</v>
      </c>
      <c r="G278" s="14">
        <f>IF($D$70&lt;=0,0,IF(ABS($F$70)/$D$70&lt;=$D$15/6+0.000001,$D$70/($D$15*$C$15)*(1+6*ABS($F$70)/$D$70/$D$15),2*$D$70/($C$15*$F$278)))</f>
        <v>30.589669421487603</v>
      </c>
      <c r="H278" s="3">
        <f>IF($D$70&lt;=0,0,$C$15*($G$278*(($D$15/2-0.35*$C$10)*MIN(($D$15/2-0.35*$C$10),$F$278)-MIN(($D$15/2-0.35*$C$10),$F$278)^2/2)-IF(ABS($F$70)/$D$70&lt;=$D$15/6+0.000001,12*$D$70*ABS($F$70)/$D$70/($C$15*$D$15^3),$G$278/$F$278)*(($D$15/2-0.35*$C$10)*MIN(($D$15/2-0.35*$C$10),$F$278)^2/2-MIN(($D$15/2-0.35*$C$10),$F$278)^3/3)))-1*($E$6*$E$15+$I$6*MAX($G$6-$E$15,0))*$C$15*($D$15/2-0.35*$C$10)^2/2</f>
        <v>-1.9014545454545342</v>
      </c>
      <c r="I278" s="15">
        <f>MAX($H$278,0)/($C$15*$G$15^2*$G$8*1000)</f>
        <v>0</v>
      </c>
      <c r="J278" s="3">
        <f>IF($H$278&lt;=0,0,10*$H$278/($G$15*(1-(1+2*SQRT((3+90*$I$278)/3)*COS(ACOS((3/(3+90*$I$278))*SQRT(3/(3+90*$I$278)))/3-2*PI()/3))/3)*$G$8))</f>
        <v>0</v>
      </c>
      <c r="K278" s="10">
        <f>MAX(N($E$278),N($J$278))</f>
        <v>0</v>
      </c>
    </row>
    <row r="279" spans="2:11" x14ac:dyDescent="0.25">
      <c r="B279" s="7" t="s">
        <v>75</v>
      </c>
      <c r="C279" s="3">
        <f>$E$36+1*$F$51</f>
        <v>51.5625</v>
      </c>
      <c r="D279" s="5">
        <f>IF($C$279&gt;0,ABS($F$71)/$C$279,"—")</f>
        <v>0.97939393939393937</v>
      </c>
      <c r="E279" s="3" t="str">
        <f>IF($C$279&lt;=0,"—",IF($D$279&lt;=$D$15/6+0.000001,10*$C$279*(1+3*$D$279/$D$15)*($D$15-$C$10)/(8*$G$15*$G$8),"—"))</f>
        <v>—</v>
      </c>
      <c r="F279" s="5">
        <f>IF($D$71&lt;=0,0,IF(ABS($F$71)/$D$71&lt;=$D$15/6+0.000001,$D$15,3*($D$15/2-ABS($F$71)/$D$71)))</f>
        <v>2.75</v>
      </c>
      <c r="G279" s="14">
        <f>IF($D$71&lt;=0,0,IF(ABS($F$71)/$D$71&lt;=$D$15/6+0.000001,$D$71/($D$15*$C$15)*(1+6*ABS($F$71)/$D$71/$D$15),2*$D$71/($C$15*$F$279)))</f>
        <v>52.431893313298275</v>
      </c>
      <c r="H279" s="3">
        <f>IF($D$71&lt;=0,0,$C$15*($G$279*(($D$15/2-0.35*$C$10)*MIN(($D$15/2-0.35*$C$10),$F$279)-MIN(($D$15/2-0.35*$C$10),$F$279)^2/2)-IF(ABS($F$71)/$D$71&lt;=$D$15/6+0.000001,12*$D$71*ABS($F$71)/$D$71/($C$15*$D$15^3),$G$279/$F$279)*(($D$15/2-0.35*$C$10)*MIN(($D$15/2-0.35*$C$10),$F$279)^2/2-MIN(($D$15/2-0.35*$C$10),$F$279)^3/3)))-1*($E$6*$E$15+$I$6*MAX($G$6-$E$15,0))*$C$15*($D$15/2-0.35*$C$10)^2/2</f>
        <v>32.954118707738552</v>
      </c>
      <c r="I279" s="15">
        <f>MAX($H$279,0)/($C$15*$G$15^2*$G$8*1000)</f>
        <v>1.7727910751042411E-4</v>
      </c>
      <c r="J279" s="3">
        <f>IF($H$279&lt;=0,0,10*$H$279/($G$15*(1-(1+2*SQRT((3+90*$I$279)/3)*COS(ACOS((3/(3+90*$I$279))*SQRT(3/(3+90*$I$279)))/3-2*PI()/3))/3)*$G$8))</f>
        <v>2.8912826930946163</v>
      </c>
      <c r="K279" s="10">
        <f>MAX(N($E$279),N($J$279))</f>
        <v>2.8912826930946163</v>
      </c>
    </row>
    <row r="280" spans="2:11" x14ac:dyDescent="0.25">
      <c r="B280" s="7" t="s">
        <v>76</v>
      </c>
      <c r="C280" s="3">
        <f>$E$37+1*$F$51</f>
        <v>33.0625</v>
      </c>
      <c r="D280" s="5">
        <f>IF($C$280&gt;0,ABS($F$72)/$C$280,"—")</f>
        <v>0</v>
      </c>
      <c r="E280" s="3">
        <f>IF($C$280&lt;=0,"—",IF($D$280&lt;=$D$15/6+0.000001,10*$C$280*(1+3*$D$280/$D$15)*($D$15-$C$10)/(8*$G$15*$G$8),"—"))</f>
        <v>0.79650284781936265</v>
      </c>
      <c r="F280" s="5">
        <f>IF($D$72&lt;=0,0,IF(ABS($F$72)/$D$72&lt;=$D$15/6+0.000001,$D$15,3*($D$15/2-ABS($F$72)/$D$72)))</f>
        <v>2.75</v>
      </c>
      <c r="G280" s="14">
        <f>IF($D$72&lt;=0,0,IF(ABS($F$72)/$D$72&lt;=$D$15/6+0.000001,$D$72/($D$15*$C$15)*(1+6*ABS($F$72)/$D$72/$D$15),2*$D$72/($C$15*$F$280)))</f>
        <v>35.416115702479345</v>
      </c>
      <c r="H280" s="3">
        <f>IF($D$72&lt;=0,0,$C$15*($G$280*(($D$15/2-0.35*$C$10)*MIN(($D$15/2-0.35*$C$10),$F$280)-MIN(($D$15/2-0.35*$C$10),$F$280)^2/2)-IF(ABS($F$72)/$D$72&lt;=$D$15/6+0.000001,12*$D$72*ABS($F$72)/$D$72/($C$15*$D$15^3),$G$280/$F$280)*(($D$15/2-0.35*$C$10)*MIN(($D$15/2-0.35*$C$10),$F$280)^2/2-MIN(($D$15/2-0.35*$C$10),$F$280)^3/3)))-1*($E$6*$E$15+$I$6*MAX($G$6-$E$15,0))*$C$15*($D$15/2-0.35*$C$10)^2/2</f>
        <v>7.654909090909122</v>
      </c>
      <c r="I280" s="15">
        <f>MAX($H$280,0)/($C$15*$G$15^2*$G$8*1000)</f>
        <v>4.1180146971769162E-5</v>
      </c>
      <c r="J280" s="3">
        <f>IF($H$280&lt;=0,0,10*$H$280/($G$15*(1-(1+2*SQRT((3+90*$I$280)/3)*COS(ACOS((3/(3+90*$I$280))*SQRT(3/(3+90*$I$280)))/3-2*PI()/3))/3)*$G$8))</f>
        <v>0.66337144098425382</v>
      </c>
      <c r="K280" s="10">
        <f>MAX(N($E$280),N($J$280))</f>
        <v>0.79650284781936265</v>
      </c>
    </row>
    <row r="281" spans="2:11" x14ac:dyDescent="0.25">
      <c r="B281" s="7" t="s">
        <v>77</v>
      </c>
      <c r="C281" s="3">
        <f>$E$38+1*$F$51</f>
        <v>82.5625</v>
      </c>
      <c r="D281" s="5">
        <f>IF($C$281&gt;0,ABS($F$73)/$C$281,"—")</f>
        <v>0.55049205147615443</v>
      </c>
      <c r="E281" s="3" t="str">
        <f>IF($C$281&lt;=0,"—",IF($D$281&lt;=$D$15/6+0.000001,10*$C$281*(1+3*$D$281/$D$15)*($D$15-$C$10)/(8*$G$15*$G$8),"—"))</f>
        <v>—</v>
      </c>
      <c r="F281" s="5">
        <f>IF($D$73&lt;=0,0,IF(ABS($F$73)/$D$73&lt;=$D$15/6+0.000001,$D$15,3*($D$15/2-ABS($F$73)/$D$73)))</f>
        <v>2.75</v>
      </c>
      <c r="G281" s="14">
        <f>IF($D$73&lt;=0,0,IF(ABS($F$73)/$D$73&lt;=$D$15/6+0.000001,$D$73/($D$15*$C$15)*(1+6*ABS($F$73)/$D$73/$D$15),2*$D$73/($C$15*$F$281)))</f>
        <v>55.074117205108941</v>
      </c>
      <c r="H281" s="3">
        <f>IF($D$73&lt;=0,0,$C$15*($G$281*(($D$15/2-0.35*$C$10)*MIN(($D$15/2-0.35*$C$10),$F$281)-MIN(($D$15/2-0.35*$C$10),$F$281)^2/2)-IF(ABS($F$73)/$D$73&lt;=$D$15/6+0.000001,12*$D$73*ABS($F$73)/$D$73/($C$15*$D$15^3),$G$281/$F$281)*(($D$15/2-0.35*$C$10)*MIN(($D$15/2-0.35*$C$10),$F$281)^2/2-MIN(($D$15/2-0.35*$C$10),$F$281)^3/3)))-1*($E$6*$E$15+$I$6*MAX($G$6-$E$15,0))*$C$15*($D$15/2-0.35*$C$10)^2/2</f>
        <v>39.024925018782874</v>
      </c>
      <c r="I281" s="15">
        <f>MAX($H$281,0)/($C$15*$G$15^2*$G$8*1000)</f>
        <v>2.0993745696395872E-4</v>
      </c>
      <c r="J281" s="3">
        <f>IF($H$281&lt;=0,0,10*$H$281/($G$15*(1-(1+2*SQRT((3+90*$I$281)/3)*COS(ACOS((3/(3+90*$I$281))*SQRT(3/(3+90*$I$281)))/3-2*PI()/3))/3)*$G$8))</f>
        <v>3.4310619832686471</v>
      </c>
      <c r="K281" s="10">
        <f>MAX(N($E$281),N($J$281))</f>
        <v>3.4310619832686471</v>
      </c>
    </row>
    <row r="282" spans="2:11" x14ac:dyDescent="0.25">
      <c r="B282" s="7" t="s">
        <v>78</v>
      </c>
      <c r="C282" s="3">
        <f>$E$39+1*$F$51</f>
        <v>145.20249999999999</v>
      </c>
      <c r="D282" s="5">
        <f>IF($C$282&gt;0,ABS($F$74)/$C$282,"—")</f>
        <v>6.9916151581412178E-2</v>
      </c>
      <c r="E282" s="3">
        <f>IF($C$282&lt;=0,"—",IF($D$282&lt;=$D$15/6+0.000001,10*$C$282*(1+3*$D$282/$D$15)*($D$15-$C$10)/(8*$G$15*$F$8),"—"))</f>
        <v>1.8977988474446537</v>
      </c>
      <c r="F282" s="5">
        <f>IF($D$74&lt;=0,0,IF(ABS($F$74)/$D$74&lt;=$D$15/6+0.000001,$D$15,3*($D$15/2-ABS($F$74)/$D$74)))</f>
        <v>2.75</v>
      </c>
      <c r="G282" s="14">
        <f>IF($D$74&lt;=0,0,IF(ABS($F$74)/$D$74&lt;=$D$15/6+0.000001,$D$74/($D$15*$C$15)*(1+6*ABS($F$74)/$D$74/$D$15),2*$D$74/($C$15*$F$282)))</f>
        <v>53.173447032306534</v>
      </c>
      <c r="H282" s="3">
        <f>IF($D$74&lt;=0,0,$C$15*($G$282*(($D$15/2-0.35*$C$10)*MIN(($D$15/2-0.35*$C$10),$F$282)-MIN(($D$15/2-0.35*$C$10),$F$282)^2/2)-IF(ABS($F$74)/$D$74&lt;=$D$15/6+0.000001,12*$D$74*ABS($F$74)/$D$74/($C$15*$D$15^3),$G$282/$F$282)*(($D$15/2-0.35*$C$10)*MIN(($D$15/2-0.35*$C$10),$F$282)^2/2-MIN(($D$15/2-0.35*$C$10),$F$282)^3/3)))-1*($E$6*$E$15+$I$6*MAX($G$6-$E$15,0))*$C$15*($D$15/2-0.35*$C$10)^2/2</f>
        <v>41.127377815176551</v>
      </c>
      <c r="I282" s="15">
        <f>MAX($H$282,0)/($C$15*$G$15^2*$I$8*1000)</f>
        <v>2.5192050091488649E-3</v>
      </c>
      <c r="J282" s="3">
        <f>IF($H$282&lt;=0,0,IF($I$282&gt;=0.5,"μ ≥ 0,5",10*$H$282/($G$15*(1-0.4*1.25*(1-SQRT(1-2*$I$282)))*$F$8)))</f>
        <v>1.7780359620451358</v>
      </c>
      <c r="K282" s="10">
        <f>MAX(N($E$282),N($J$282))</f>
        <v>1.8977988474446537</v>
      </c>
    </row>
    <row r="283" spans="2:11" x14ac:dyDescent="0.25">
      <c r="B283" s="7" t="s">
        <v>80</v>
      </c>
      <c r="C283" s="3">
        <f>$E$40+1*$F$51</f>
        <v>127.9225</v>
      </c>
      <c r="D283" s="5">
        <f>IF($C$283&gt;0,ABS($F$75)/$C$283,"—")</f>
        <v>7.9360550333209573E-2</v>
      </c>
      <c r="E283" s="3">
        <f>IF($C$283&lt;=0,"—",IF($D$283&lt;=$D$15/6+0.000001,10*$C$283*(1+3*$D$283/$D$15)*($D$15-$C$10)/(8*$G$15*$F$8),"—"))</f>
        <v>1.6879542878591616</v>
      </c>
      <c r="F283" s="5">
        <f>IF($D$75&lt;=0,0,IF(ABS($F$75)/$D$75&lt;=$D$15/6+0.000001,$D$15,3*($D$15/2-ABS($F$75)/$D$75)))</f>
        <v>2.75</v>
      </c>
      <c r="G283" s="14">
        <f>IF($D$75&lt;=0,0,IF(ABS($F$75)/$D$75&lt;=$D$15/6+0.000001,$D$75/($D$15*$C$15)*(1+6*ABS($F$75)/$D$75/$D$15),2*$D$75/($C$15*$F$283)))</f>
        <v>50.888488354620577</v>
      </c>
      <c r="H283" s="3">
        <f>IF($D$75&lt;=0,0,$C$15*($G$283*(($D$15/2-0.35*$C$10)*MIN(($D$15/2-0.35*$C$10),$F$283)-MIN(($D$15/2-0.35*$C$10),$F$283)^2/2)-IF(ABS($F$75)/$D$75&lt;=$D$15/6+0.000001,12*$D$75*ABS($F$75)/$D$75/($C$15*$D$15^3),$G$283/$F$283)*(($D$15/2-0.35*$C$10)*MIN(($D$15/2-0.35*$C$10),$F$283)^2/2-MIN(($D$15/2-0.35*$C$10),$F$283)^3/3)))-1*($E$6*$E$15+$I$6*MAX($G$6-$E$15,0))*$C$15*($D$15/2-0.35*$C$10)^2/2</f>
        <v>36.603159633358366</v>
      </c>
      <c r="I283" s="15">
        <f>MAX($H$283,0)/($C$15*$G$15^2*$I$8*1000)</f>
        <v>2.2420798017666198E-3</v>
      </c>
      <c r="J283" s="3">
        <f>IF($H$283&lt;=0,0,IF($I$283&gt;=0.5,"μ ≥ 0,5",10*$H$283/($G$15*(1-0.4*1.25*(1-SQRT(1-2*$I$283)))*$F$8)))</f>
        <v>1.5822230351930038</v>
      </c>
      <c r="K283" s="10">
        <f>MAX(N($E$283),N($J$283))</f>
        <v>1.6879542878591616</v>
      </c>
    </row>
    <row r="284" spans="2:11" x14ac:dyDescent="0.25">
      <c r="B284" s="7" t="s">
        <v>81</v>
      </c>
      <c r="C284" s="3">
        <f>$E$41+1*$F$51</f>
        <v>140.16249999999999</v>
      </c>
      <c r="D284" s="5">
        <f>IF($C$284&gt;0,ABS($F$76)/$C$284,"—")</f>
        <v>0.2414340497636672</v>
      </c>
      <c r="E284" s="3">
        <f>IF($C$284&lt;=0,"—",IF($D$284&lt;=$D$15/6+0.000001,10*$C$284*(1+3*$D$284/$D$15)*($D$15-$C$10)/(8*$G$15*$F$8),"—"))</f>
        <v>2.1504071847032504</v>
      </c>
      <c r="F284" s="5">
        <f>IF($D$76&lt;=0,0,IF(ABS($F$76)/$D$76&lt;=$D$15/6+0.000001,$D$15,3*($D$15/2-ABS($F$76)/$D$76)))</f>
        <v>2.75</v>
      </c>
      <c r="G284" s="14">
        <f>IF($D$76&lt;=0,0,IF(ABS($F$76)/$D$76&lt;=$D$15/6+0.000001,$D$76/($D$15*$C$15)*(1+6*ABS($F$76)/$D$76/$D$15),2*$D$76/($C$15*$F$284)))</f>
        <v>59.341104432757319</v>
      </c>
      <c r="H284" s="3">
        <f>IF($D$76&lt;=0,0,$C$15*($G$284*(($D$15/2-0.35*$C$10)*MIN(($D$15/2-0.35*$C$10),$F$284)-MIN(($D$15/2-0.35*$C$10),$F$284)^2/2)-IF(ABS($F$76)/$D$76&lt;=$D$15/6+0.000001,12*$D$76*ABS($F$76)/$D$76/($C$15*$D$15^3),$G$284/$F$284)*(($D$15/2-0.35*$C$10)*MIN(($D$15/2-0.35*$C$10),$F$284)^2/2-MIN(($D$15/2-0.35*$C$10),$F$284)^3/3)))-1*($E$6*$E$15+$I$6*MAX($G$6-$E$15,0))*$C$15*($D$15/2-0.35*$C$10)^2/2</f>
        <v>49.40289574755824</v>
      </c>
      <c r="I284" s="15">
        <f>MAX($H$284,0)/($C$15*$G$15^2*$I$8*1000)</f>
        <v>3.0261112924097472E-3</v>
      </c>
      <c r="J284" s="3">
        <f>IF($H$284&lt;=0,0,IF($I$284&gt;=0.5,"μ ≥ 0,5",10*$H$284/($G$15*(1-0.4*1.25*(1-SQRT(1-2*$I$284)))*$F$8)))</f>
        <v>2.1363502649816182</v>
      </c>
      <c r="K284" s="10">
        <f>MAX(N($E$284),N($J$284))</f>
        <v>2.1504071847032504</v>
      </c>
    </row>
    <row r="285" spans="2:11" x14ac:dyDescent="0.25">
      <c r="B285" s="7" t="s">
        <v>82</v>
      </c>
      <c r="C285" s="3">
        <f>$E$42+1*$F$51</f>
        <v>82.5625</v>
      </c>
      <c r="D285" s="5">
        <f>IF($C$285&gt;0,ABS($F$77)/$C$285,"—")</f>
        <v>0.40987130961392887</v>
      </c>
      <c r="E285" s="3">
        <f>IF($C$285&lt;=0,"—",IF($D$285&lt;=$D$15/6+0.000001,10*$C$285*(1+3*$D$285/$D$15)*($D$15-$C$10)/(8*$G$15*$F$8),"—"))</f>
        <v>1.4509253194182763</v>
      </c>
      <c r="F285" s="5">
        <f>IF($D$77&lt;=0,0,IF(ABS($F$77)/$D$77&lt;=$D$15/6+0.000001,$D$15,3*($D$15/2-ABS($F$77)/$D$77)))</f>
        <v>2.75</v>
      </c>
      <c r="G285" s="14">
        <f>IF($D$77&lt;=0,0,IF(ABS($F$77)/$D$77&lt;=$D$15/6+0.000001,$D$77/($D$15*$C$15)*(1+6*ABS($F$77)/$D$77/$D$15),2*$D$77/($C$15*$F$285)))</f>
        <v>51.724575507137494</v>
      </c>
      <c r="H285" s="3">
        <f>IF($D$77&lt;=0,0,$C$15*($G$285*(($D$15/2-0.35*$C$10)*MIN(($D$15/2-0.35*$C$10),$F$285)-MIN(($D$15/2-0.35*$C$10),$F$285)^2/2)-IF(ABS($F$77)/$D$77&lt;=$D$15/6+0.000001,12*$D$77*ABS($F$77)/$D$77/($C$15*$D$15^3),$G$285/$F$285)*(($D$15/2-0.35*$C$10)*MIN(($D$15/2-0.35*$C$10),$F$285)^2/2-MIN(($D$15/2-0.35*$C$10),$F$285)^3/3)))-1*($E$6*$E$15+$I$6*MAX($G$6-$E$15,0))*$C$15*($D$15/2-0.35*$C$10)^2/2</f>
        <v>34.322168474830967</v>
      </c>
      <c r="I285" s="15">
        <f>MAX($H$285,0)/($C$15*$G$15^2*$I$8*1000)</f>
        <v>2.1023606011355976E-3</v>
      </c>
      <c r="J285" s="3">
        <f>IF($H$285&lt;=0,0,IF($I$285&gt;=0.5,"μ ≥ 0,5",10*$H$285/($G$15*(1-0.4*1.25*(1-SQRT(1-2*$I$285)))*$F$8)))</f>
        <v>1.4835200048681279</v>
      </c>
      <c r="K285" s="10">
        <f>MAX(N($E$285),N($J$285))</f>
        <v>1.4835200048681279</v>
      </c>
    </row>
    <row r="286" spans="2:11" x14ac:dyDescent="0.25">
      <c r="B286" s="7" t="s">
        <v>83</v>
      </c>
      <c r="C286" s="3">
        <f>$E$43+1*$F$51</f>
        <v>55.922499999999999</v>
      </c>
      <c r="D286" s="5">
        <f>IF($C$286&gt;0,ABS($F$78)/$C$286,"—")</f>
        <v>0.18153694845545176</v>
      </c>
      <c r="E286" s="3">
        <f>IF($C$286&lt;=0,"—",IF($D$286&lt;=$D$15/6+0.000001,10*$C$286*(1+3*$D$286/$D$15)*($D$15-$C$10)/(8*$G$15*$F$8),"—"))</f>
        <v>0.81360195625294396</v>
      </c>
      <c r="F286" s="5">
        <f>IF($D$78&lt;=0,0,IF(ABS($F$78)/$D$78&lt;=$D$15/6+0.000001,$D$15,3*($D$15/2-ABS($F$78)/$D$78)))</f>
        <v>2.75</v>
      </c>
      <c r="G286" s="14">
        <f>IF($D$78&lt;=0,0,IF(ABS($F$78)/$D$78&lt;=$D$15/6+0.000001,$D$78/($D$15*$C$15)*(1+6*ABS($F$78)/$D$78/$D$15),2*$D$78/($C$15*$F$286)))</f>
        <v>41.367827197595794</v>
      </c>
      <c r="H286" s="3">
        <f>IF($D$78&lt;=0,0,$C$15*($G$286*(($D$15/2-0.35*$C$10)*MIN(($D$15/2-0.35*$C$10),$F$286)-MIN(($D$15/2-0.35*$C$10),$F$286)^2/2)-IF(ABS($F$78)/$D$78&lt;=$D$15/6+0.000001,12*$D$78*ABS($F$78)/$D$78/($C$15*$D$15^3),$G$286/$F$286)*(($D$15/2-0.35*$C$10)*MIN(($D$15/2-0.35*$C$10),$F$286)^2/2-MIN(($D$15/2-0.35*$C$10),$F$286)^3/3)))-1*($E$6*$E$15+$I$6*MAX($G$6-$E$15,0))*$C$15*($D$15/2-0.35*$C$10)^2/2</f>
        <v>17.75225054244931</v>
      </c>
      <c r="I286" s="15">
        <f>MAX($H$286,0)/($C$15*$G$15^2*$I$8*1000)</f>
        <v>1.0873914376739356E-3</v>
      </c>
      <c r="J286" s="3">
        <f>IF($H$286&lt;=0,0,IF($I$286&gt;=0.5,"μ ≥ 0,5",10*$H$286/($G$15*(1-0.4*1.25*(1-SQRT(1-2*$I$286)))*$F$8)))</f>
        <v>0.76692197213582158</v>
      </c>
      <c r="K286" s="10">
        <f>MAX(N($E$286),N($J$286))</f>
        <v>0.81360195625294396</v>
      </c>
    </row>
    <row r="287" spans="2:11" x14ac:dyDescent="0.25">
      <c r="B287" s="7" t="s">
        <v>84</v>
      </c>
      <c r="C287" s="3">
        <f>$E$44+1*$F$51</f>
        <v>73.202500000000001</v>
      </c>
      <c r="D287" s="5">
        <f>IF($C$287&gt;0,ABS($F$79)/$C$287,"—")</f>
        <v>0.13868378812199039</v>
      </c>
      <c r="E287" s="3">
        <f>IF($C$287&lt;=0,"—",IF($D$287&lt;=$D$15/6+0.000001,10*$C$287*(1+3*$D$287/$D$15)*($D$15-$C$10)/(8*$G$15*$F$8),"—"))</f>
        <v>1.0234465158384363</v>
      </c>
      <c r="F287" s="5">
        <f>IF($D$79&lt;=0,0,IF(ABS($F$79)/$D$79&lt;=$D$15/6+0.000001,$D$15,3*($D$15/2-ABS($F$79)/$D$79)))</f>
        <v>2.75</v>
      </c>
      <c r="G287" s="14">
        <f>IF($D$79&lt;=0,0,IF(ABS($F$79)/$D$79&lt;=$D$15/6+0.000001,$D$79/($D$15*$C$15)*(1+6*ABS($F$79)/$D$79/$D$15),2*$D$79/($C$15*$F$287)))</f>
        <v>43.652785875281744</v>
      </c>
      <c r="H287" s="3">
        <f>IF($D$79&lt;=0,0,$C$15*($G$287*(($D$15/2-0.35*$C$10)*MIN(($D$15/2-0.35*$C$10),$F$287)-MIN(($D$15/2-0.35*$C$10),$F$287)^2/2)-IF(ABS($F$79)/$D$79&lt;=$D$15/6+0.000001,12*$D$79*ABS($F$79)/$D$79/($C$15*$D$15^3),$G$287/$F$287)*(($D$15/2-0.35*$C$10)*MIN(($D$15/2-0.35*$C$10),$F$287)^2/2-MIN(($D$15/2-0.35*$C$10),$F$287)^3/3)))-1*($E$6*$E$15+$I$6*MAX($G$6-$E$15,0))*$C$15*($D$15/2-0.35*$C$10)^2/2</f>
        <v>22.276468724267481</v>
      </c>
      <c r="I287" s="15">
        <f>MAX($H$287,0)/($C$15*$G$15^2*$I$8*1000)</f>
        <v>1.3645166450561796E-3</v>
      </c>
      <c r="J287" s="3">
        <f>IF($H$287&lt;=0,0,IF($I$287&gt;=0.5,"μ ≥ 0,5",10*$H$287/($G$15*(1-0.4*1.25*(1-SQRT(1-2*$I$287)))*$F$8)))</f>
        <v>0.96250810899105754</v>
      </c>
      <c r="K287" s="10">
        <f>MAX(N($E$287),N($J$287))</f>
        <v>1.0234465158384363</v>
      </c>
    </row>
    <row r="288" spans="2:11" x14ac:dyDescent="0.25">
      <c r="B288" s="7" t="s">
        <v>85</v>
      </c>
      <c r="C288" s="3">
        <f>$E$45+1*$F$51</f>
        <v>60.962499999999999</v>
      </c>
      <c r="D288" s="5">
        <f>IF($C$288&gt;0,ABS($F$80)/$C$288,"—")</f>
        <v>0.55509534549928241</v>
      </c>
      <c r="E288" s="3" t="str">
        <f>IF($C$288&lt;=0,"—",IF($D$288&lt;=$D$15/6+0.000001,10*$C$288*(1+3*$D$288/$D$15)*($D$15-$C$10)/(8*$G$15*$F$8),"—"))</f>
        <v>—</v>
      </c>
      <c r="F288" s="5">
        <f>IF($D$80&lt;=0,0,IF(ABS($F$80)/$D$80&lt;=$D$15/6+0.000001,$D$15,3*($D$15/2-ABS($F$80)/$D$80)))</f>
        <v>2.75</v>
      </c>
      <c r="G288" s="14">
        <f>IF($D$80&lt;=0,0,IF(ABS($F$80)/$D$80&lt;=$D$15/6+0.000001,$D$80/($D$15*$C$15)*(1+6*ABS($F$80)/$D$80/$D$15),2*$D$80/($C$15*$F$288)))</f>
        <v>48.86837716003005</v>
      </c>
      <c r="H288" s="3">
        <f>IF($D$80&lt;=0,0,$C$15*($G$288*(($D$15/2-0.35*$C$10)*MIN(($D$15/2-0.35*$C$10),$F$288)-MIN(($D$15/2-0.35*$C$10),$F$288)^2/2)-IF(ABS($F$80)/$D$80&lt;=$D$15/6+0.000001,12*$D$80*ABS($F$80)/$D$80/($C$15*$D$15^3),$G$288/$F$288)*(($D$15/2-0.35*$C$10)*MIN(($D$15/2-0.35*$C$10),$F$288)^2/2-MIN(($D$15/2-0.35*$C$10),$F$288)^3/3)))-1*($E$6*$E$15+$I$6*MAX($G$6-$E$15,0))*$C$15*($D$15/2-0.35*$C$10)^2/2</f>
        <v>28.666895747558222</v>
      </c>
      <c r="I288" s="15">
        <f>MAX($H$288,0)/($C$15*$G$15^2*$I$8*1000)</f>
        <v>1.7559540919077907E-3</v>
      </c>
      <c r="J288" s="3">
        <f>IF($H$288&lt;=0,0,IF($I$288&gt;=0.5,"μ ≥ 0,5",10*$H$288/($G$15*(1-0.4*1.25*(1-SQRT(1-2*$I$288)))*$F$8)))</f>
        <v>1.2388648064179779</v>
      </c>
      <c r="K288" s="10">
        <f>MAX(N($E$288),N($J$288))</f>
        <v>1.2388648064179779</v>
      </c>
    </row>
    <row r="289" spans="2:11" x14ac:dyDescent="0.25">
      <c r="B289" s="7" t="s">
        <v>86</v>
      </c>
      <c r="C289" s="3">
        <f>$E$46+1*$F$51</f>
        <v>118.5625</v>
      </c>
      <c r="D289" s="5">
        <f>IF($C$289&gt;0,ABS($F$81)/$C$289,"—")</f>
        <v>0.28541908276225625</v>
      </c>
      <c r="E289" s="3">
        <f>IF($C$289&lt;=0,"—",IF($D$289&lt;=$D$15/6+0.000001,10*$C$289*(1+3*$D$289/$D$15)*($D$15-$C$10)/(8*$G$15*$F$8),"—"))</f>
        <v>1.8881014852213851</v>
      </c>
      <c r="F289" s="5">
        <f>IF($D$81&lt;=0,0,IF(ABS($F$81)/$D$81&lt;=$D$15/6+0.000001,$D$15,3*($D$15/2-ABS($F$81)/$D$81)))</f>
        <v>2.75</v>
      </c>
      <c r="G289" s="14">
        <f>IF($D$81&lt;=0,0,IF(ABS($F$81)/$D$81&lt;=$D$15/6+0.000001,$D$81/($D$15*$C$15)*(1+6*ABS($F$81)/$D$81/$D$15),2*$D$81/($C$15*$F$289)))</f>
        <v>56.484906085649897</v>
      </c>
      <c r="H289" s="3">
        <f>IF($D$81&lt;=0,0,$C$15*($G$289*(($D$15/2-0.35*$C$10)*MIN(($D$15/2-0.35*$C$10),$F$289)-MIN(($D$15/2-0.35*$C$10),$F$289)^2/2)-IF(ABS($F$81)/$D$81&lt;=$D$15/6+0.000001,12*$D$81*ABS($F$81)/$D$81/($C$15*$D$15^3),$G$289/$F$289)*(($D$15/2-0.35*$C$10)*MIN(($D$15/2-0.35*$C$10),$F$289)^2/2-MIN(($D$15/2-0.35*$C$10),$F$289)^3/3)))-1*($E$6*$E$15+$I$6*MAX($G$6-$E$15,0))*$C$15*($D$15/2-0.35*$C$10)^2/2</f>
        <v>43.747623020285509</v>
      </c>
      <c r="I289" s="15">
        <f>MAX($H$289,0)/($C$15*$G$15^2*$I$8*1000)</f>
        <v>2.6797047831819409E-3</v>
      </c>
      <c r="J289" s="3">
        <f>IF($H$289&lt;=0,0,IF($I$289&gt;=0.5,"μ ≥ 0,5",10*$H$289/($G$15*(1-0.4*1.25*(1-SQRT(1-2*$I$289)))*$F$8)))</f>
        <v>1.891467874679776</v>
      </c>
      <c r="K289" s="10">
        <f>MAX(N($E$289),N($J$289))</f>
        <v>1.891467874679776</v>
      </c>
    </row>
    <row r="291" spans="2:11" ht="20.100000000000001" customHeight="1" x14ac:dyDescent="0.25">
      <c r="B291" s="2" t="s">
        <v>157</v>
      </c>
      <c r="C291" s="23" t="s">
        <v>89</v>
      </c>
      <c r="D291" s="24"/>
      <c r="E291" s="25"/>
      <c r="F291" s="2" t="s">
        <v>158</v>
      </c>
      <c r="G291" s="2" t="s">
        <v>40</v>
      </c>
    </row>
    <row r="292" spans="2:11" x14ac:dyDescent="0.25">
      <c r="B292" s="16" t="s">
        <v>159</v>
      </c>
      <c r="C292" s="22" t="s">
        <v>160</v>
      </c>
      <c r="D292" s="19"/>
      <c r="E292" s="19"/>
      <c r="F292" s="3">
        <f>MAX($K$266:$K$289)</f>
        <v>3.4310619832686471</v>
      </c>
      <c r="G292" s="6"/>
    </row>
    <row r="293" spans="2:11" x14ac:dyDescent="0.25">
      <c r="B293" s="16" t="s">
        <v>161</v>
      </c>
      <c r="C293" s="22" t="s">
        <v>178</v>
      </c>
      <c r="D293" s="19"/>
      <c r="E293" s="19"/>
      <c r="F293" s="3">
        <f>0.23*$C$15*$G$15*$D$6/$B$6*10000</f>
        <v>19.226418750000001</v>
      </c>
      <c r="G293" s="6"/>
    </row>
    <row r="294" spans="2:11" x14ac:dyDescent="0.25">
      <c r="B294" s="16" t="s">
        <v>163</v>
      </c>
      <c r="C294" s="22" t="s">
        <v>164</v>
      </c>
      <c r="D294" s="19"/>
      <c r="E294" s="19"/>
      <c r="F294" s="10">
        <f>MAX($F$292,$F$293)</f>
        <v>19.226418750000001</v>
      </c>
      <c r="G294" s="6"/>
    </row>
    <row r="295" spans="2:11" x14ac:dyDescent="0.25">
      <c r="B295" s="16" t="s">
        <v>165</v>
      </c>
      <c r="C295" s="22" t="s">
        <v>166</v>
      </c>
      <c r="D295" s="19"/>
      <c r="E295" s="19"/>
      <c r="F295" s="17">
        <v>12</v>
      </c>
      <c r="G295" s="6"/>
    </row>
    <row r="296" spans="2:11" x14ac:dyDescent="0.25">
      <c r="B296" s="16" t="s">
        <v>167</v>
      </c>
      <c r="C296" s="22" t="s">
        <v>166</v>
      </c>
      <c r="D296" s="19"/>
      <c r="E296" s="19"/>
      <c r="F296" s="8">
        <v>0.16600000000000001</v>
      </c>
      <c r="G296" s="6"/>
    </row>
    <row r="297" spans="2:11" x14ac:dyDescent="0.25">
      <c r="B297" s="16" t="s">
        <v>168</v>
      </c>
      <c r="C297" s="22" t="s">
        <v>179</v>
      </c>
      <c r="D297" s="19"/>
      <c r="E297" s="19"/>
      <c r="F297" s="4">
        <f>MAX(CEILING(($C$15-2*$F$6)/$F$296-0.000000001,1)+1,2)</f>
        <v>17</v>
      </c>
      <c r="G297" s="6"/>
    </row>
    <row r="298" spans="2:11" ht="15.75" x14ac:dyDescent="0.25">
      <c r="B298" s="16" t="s">
        <v>170</v>
      </c>
      <c r="C298" s="22" t="s">
        <v>171</v>
      </c>
      <c r="D298" s="19"/>
      <c r="E298" s="19"/>
      <c r="F298" s="10">
        <f>$F$297*PI()*$F$295^2/400</f>
        <v>19.226547039969535</v>
      </c>
      <c r="G298" s="9" t="str">
        <f>IF($F$298&gt;=$F$294-0.0001,"OK","NON OK")</f>
        <v>OK</v>
      </c>
    </row>
    <row r="299" spans="2:11" ht="15.75" x14ac:dyDescent="0.25">
      <c r="B299" s="16" t="s">
        <v>172</v>
      </c>
      <c r="C299" s="22" t="s">
        <v>173</v>
      </c>
      <c r="D299" s="19"/>
      <c r="E299" s="19"/>
      <c r="F299" s="3">
        <f>MIN(2*$E$15,0.25)</f>
        <v>0.25</v>
      </c>
      <c r="G299" s="9" t="str">
        <f>IF($F$296&lt;=$F$299+0.0001,"OK","NON OK")</f>
        <v>OK</v>
      </c>
    </row>
    <row r="300" spans="2:11" x14ac:dyDescent="0.25">
      <c r="B300" s="11" t="s">
        <v>180</v>
      </c>
      <c r="C300" s="26" t="str">
        <f>$F$297&amp;" HA"&amp;$F$295&amp;"  e = "&amp;TEXT($F$296*100,"0")&amp;" cm  (As = "&amp;TEXT($F$298,"0.00")&amp;" cm²)"</f>
        <v>17 HA12  e = 17 cm  (As = 19.23 cm²)</v>
      </c>
      <c r="D300" s="27"/>
      <c r="E300" s="27"/>
      <c r="F300" s="27"/>
      <c r="G300" s="27"/>
    </row>
    <row r="301" spans="2:11" ht="15" customHeight="1" x14ac:dyDescent="0.25">
      <c r="B301" s="20" t="s">
        <v>181</v>
      </c>
      <c r="C301" s="21"/>
      <c r="D301" s="21"/>
      <c r="E301" s="21"/>
      <c r="F301" s="21"/>
      <c r="G301" s="21"/>
      <c r="H301" s="21"/>
      <c r="I301" s="21"/>
      <c r="J301" s="21"/>
      <c r="K301" s="21"/>
    </row>
    <row r="303" spans="2:11" ht="30" customHeight="1" x14ac:dyDescent="0.25">
      <c r="B303" s="1" t="s">
        <v>182</v>
      </c>
      <c r="C303" s="26" t="str">
        <f>IF(COUNTIF($B$4:$K$302,"NON OK")=0,"SEMELLE VÉRIFIÉE","SEMELLE NON VÉRIFIÉE")&amp;" : A × B × H = "&amp;TEXT($C$15,"0.00")&amp;" × "&amp;TEXT($D$15,"0.00")&amp;" × "&amp;TEXT($E$15,"0.00")&amp;" m ; // A : "&amp;$F$257&amp;" HA"&amp;$F$255&amp;" e = "&amp;TEXT($F$256*100,"0")&amp;" cm"&amp;" ; // B : "&amp;$F$297&amp;" HA"&amp;$F$295&amp;" e = "&amp;TEXT($F$296*100,"0")&amp;" cm"</f>
        <v>SEMELLE VÉRIFIÉE : A × B × H = 2.75 × 2.75 × 0.65 m ; // A : 18 HA12 e = 16 cm ; // B : 17 HA12 e = 17 cm</v>
      </c>
      <c r="D303" s="27"/>
      <c r="E303" s="27"/>
      <c r="F303" s="27"/>
      <c r="G303" s="27"/>
      <c r="H303" s="27"/>
      <c r="I303" s="27"/>
      <c r="J303" s="27"/>
      <c r="K303" s="27"/>
    </row>
  </sheetData>
  <mergeCells count="54">
    <mergeCell ref="B2:K2"/>
    <mergeCell ref="B111:K111"/>
    <mergeCell ref="B195:K195"/>
    <mergeCell ref="B262:K262"/>
    <mergeCell ref="B1:K1"/>
    <mergeCell ref="B17:K17"/>
    <mergeCell ref="C259:E259"/>
    <mergeCell ref="B196:K196"/>
    <mergeCell ref="B112:K112"/>
    <mergeCell ref="C256:E256"/>
    <mergeCell ref="C49:E49"/>
    <mergeCell ref="C258:E258"/>
    <mergeCell ref="B12:K12"/>
    <mergeCell ref="C254:E254"/>
    <mergeCell ref="B263:K263"/>
    <mergeCell ref="B48:K48"/>
    <mergeCell ref="B4:K4"/>
    <mergeCell ref="C52:E52"/>
    <mergeCell ref="C299:E299"/>
    <mergeCell ref="B224:K224"/>
    <mergeCell ref="C253:E253"/>
    <mergeCell ref="C296:E296"/>
    <mergeCell ref="C292:E292"/>
    <mergeCell ref="B202:K202"/>
    <mergeCell ref="B140:K140"/>
    <mergeCell ref="B264:K264"/>
    <mergeCell ref="C53:E53"/>
    <mergeCell ref="B56:K56"/>
    <mergeCell ref="C293:E293"/>
    <mergeCell ref="B167:K167"/>
    <mergeCell ref="B223:K223"/>
    <mergeCell ref="B21:K21"/>
    <mergeCell ref="C295:E295"/>
    <mergeCell ref="C297:E297"/>
    <mergeCell ref="C303:K303"/>
    <mergeCell ref="B203:K203"/>
    <mergeCell ref="C251:E251"/>
    <mergeCell ref="B301:K301"/>
    <mergeCell ref="C298:E298"/>
    <mergeCell ref="C300:G300"/>
    <mergeCell ref="C294:E294"/>
    <mergeCell ref="C50:E50"/>
    <mergeCell ref="B168:K168"/>
    <mergeCell ref="B84:K84"/>
    <mergeCell ref="C255:E255"/>
    <mergeCell ref="C291:E291"/>
    <mergeCell ref="C260:G260"/>
    <mergeCell ref="B83:K83"/>
    <mergeCell ref="B139:K139"/>
    <mergeCell ref="C252:E252"/>
    <mergeCell ref="B55:K55"/>
    <mergeCell ref="C257:E257"/>
    <mergeCell ref="B222:K222"/>
    <mergeCell ref="C51:E51"/>
  </mergeCells>
  <conditionalFormatting sqref="B4:K303">
    <cfRule type="cellIs" dxfId="75" priority="37" operator="equal">
      <formula>"NON OK"</formula>
    </cfRule>
  </conditionalFormatting>
  <conditionalFormatting sqref="C303">
    <cfRule type="expression" dxfId="74" priority="38">
      <formula>COUNTIF($B$4:$K$302,"NON OK")&gt;0</formula>
    </cfRule>
  </conditionalFormatting>
  <conditionalFormatting sqref="I226">
    <cfRule type="expression" dxfId="73" priority="1">
      <formula>$I$226&gt;$G$10</formula>
    </cfRule>
  </conditionalFormatting>
  <conditionalFormatting sqref="I227">
    <cfRule type="expression" dxfId="72" priority="2">
      <formula>$I$227&gt;$G$10</formula>
    </cfRule>
  </conditionalFormatting>
  <conditionalFormatting sqref="I228">
    <cfRule type="expression" dxfId="71" priority="3">
      <formula>$I$228&gt;$G$10</formula>
    </cfRule>
  </conditionalFormatting>
  <conditionalFormatting sqref="I229">
    <cfRule type="expression" dxfId="70" priority="4">
      <formula>$I$229&gt;$G$10</formula>
    </cfRule>
  </conditionalFormatting>
  <conditionalFormatting sqref="I230">
    <cfRule type="expression" dxfId="69" priority="5">
      <formula>$I$230&gt;$G$10</formula>
    </cfRule>
  </conditionalFormatting>
  <conditionalFormatting sqref="I231">
    <cfRule type="expression" dxfId="68" priority="6">
      <formula>$I$231&gt;$G$10</formula>
    </cfRule>
  </conditionalFormatting>
  <conditionalFormatting sqref="I232">
    <cfRule type="expression" dxfId="67" priority="7">
      <formula>$I$232&gt;$G$10</formula>
    </cfRule>
  </conditionalFormatting>
  <conditionalFormatting sqref="I233">
    <cfRule type="expression" dxfId="66" priority="8">
      <formula>$I$233&gt;$G$10</formula>
    </cfRule>
  </conditionalFormatting>
  <conditionalFormatting sqref="I234">
    <cfRule type="expression" dxfId="65" priority="9">
      <formula>$I$234&gt;$G$10</formula>
    </cfRule>
  </conditionalFormatting>
  <conditionalFormatting sqref="I235">
    <cfRule type="expression" dxfId="64" priority="10">
      <formula>$I$235&gt;$G$10</formula>
    </cfRule>
  </conditionalFormatting>
  <conditionalFormatting sqref="I242">
    <cfRule type="expression" dxfId="63" priority="11">
      <formula>$I$242&gt;$H$10</formula>
    </cfRule>
  </conditionalFormatting>
  <conditionalFormatting sqref="I243">
    <cfRule type="expression" dxfId="62" priority="12">
      <formula>$I$243&gt;$H$10</formula>
    </cfRule>
  </conditionalFormatting>
  <conditionalFormatting sqref="I244">
    <cfRule type="expression" dxfId="61" priority="13">
      <formula>$I$244&gt;$H$10</formula>
    </cfRule>
  </conditionalFormatting>
  <conditionalFormatting sqref="I245">
    <cfRule type="expression" dxfId="60" priority="14">
      <formula>$I$245&gt;$H$10</formula>
    </cfRule>
  </conditionalFormatting>
  <conditionalFormatting sqref="I246">
    <cfRule type="expression" dxfId="59" priority="15">
      <formula>$I$246&gt;$H$10</formula>
    </cfRule>
  </conditionalFormatting>
  <conditionalFormatting sqref="I247">
    <cfRule type="expression" dxfId="58" priority="16">
      <formula>$I$247&gt;$H$10</formula>
    </cfRule>
  </conditionalFormatting>
  <conditionalFormatting sqref="I248">
    <cfRule type="expression" dxfId="57" priority="17">
      <formula>$I$248&gt;$H$10</formula>
    </cfRule>
  </conditionalFormatting>
  <conditionalFormatting sqref="I249">
    <cfRule type="expression" dxfId="56" priority="18">
      <formula>$I$249&gt;$H$10</formula>
    </cfRule>
  </conditionalFormatting>
  <conditionalFormatting sqref="I266">
    <cfRule type="expression" dxfId="55" priority="19">
      <formula>$I$266&gt;$G$10</formula>
    </cfRule>
  </conditionalFormatting>
  <conditionalFormatting sqref="I267">
    <cfRule type="expression" dxfId="54" priority="20">
      <formula>$I$267&gt;$G$10</formula>
    </cfRule>
  </conditionalFormatting>
  <conditionalFormatting sqref="I268">
    <cfRule type="expression" dxfId="53" priority="21">
      <formula>$I$268&gt;$G$10</formula>
    </cfRule>
  </conditionalFormatting>
  <conditionalFormatting sqref="I269">
    <cfRule type="expression" dxfId="52" priority="22">
      <formula>$I$269&gt;$G$10</formula>
    </cfRule>
  </conditionalFormatting>
  <conditionalFormatting sqref="I270">
    <cfRule type="expression" dxfId="51" priority="23">
      <formula>$I$270&gt;$G$10</formula>
    </cfRule>
  </conditionalFormatting>
  <conditionalFormatting sqref="I271">
    <cfRule type="expression" dxfId="50" priority="24">
      <formula>$I$271&gt;$G$10</formula>
    </cfRule>
  </conditionalFormatting>
  <conditionalFormatting sqref="I272">
    <cfRule type="expression" dxfId="49" priority="25">
      <formula>$I$272&gt;$G$10</formula>
    </cfRule>
  </conditionalFormatting>
  <conditionalFormatting sqref="I273">
    <cfRule type="expression" dxfId="48" priority="26">
      <formula>$I$273&gt;$G$10</formula>
    </cfRule>
  </conditionalFormatting>
  <conditionalFormatting sqref="I274">
    <cfRule type="expression" dxfId="47" priority="27">
      <formula>$I$274&gt;$G$10</formula>
    </cfRule>
  </conditionalFormatting>
  <conditionalFormatting sqref="I275">
    <cfRule type="expression" dxfId="46" priority="28">
      <formula>$I$275&gt;$G$10</formula>
    </cfRule>
  </conditionalFormatting>
  <conditionalFormatting sqref="I282">
    <cfRule type="expression" dxfId="45" priority="29">
      <formula>$I$282&gt;$H$10</formula>
    </cfRule>
  </conditionalFormatting>
  <conditionalFormatting sqref="I283">
    <cfRule type="expression" dxfId="44" priority="30">
      <formula>$I$283&gt;$H$10</formula>
    </cfRule>
  </conditionalFormatting>
  <conditionalFormatting sqref="I284">
    <cfRule type="expression" dxfId="43" priority="31">
      <formula>$I$284&gt;$H$10</formula>
    </cfRule>
  </conditionalFormatting>
  <conditionalFormatting sqref="I285">
    <cfRule type="expression" dxfId="42" priority="32">
      <formula>$I$285&gt;$H$10</formula>
    </cfRule>
  </conditionalFormatting>
  <conditionalFormatting sqref="I286">
    <cfRule type="expression" dxfId="41" priority="33">
      <formula>$I$286&gt;$H$10</formula>
    </cfRule>
  </conditionalFormatting>
  <conditionalFormatting sqref="I287">
    <cfRule type="expression" dxfId="40" priority="34">
      <formula>$I$287&gt;$H$10</formula>
    </cfRule>
  </conditionalFormatting>
  <conditionalFormatting sqref="I288">
    <cfRule type="expression" dxfId="39" priority="35">
      <formula>$I$288&gt;$H$10</formula>
    </cfRule>
  </conditionalFormatting>
  <conditionalFormatting sqref="I289">
    <cfRule type="expression" dxfId="38" priority="36">
      <formula>$I$289&gt;$H$10</formula>
    </cfRule>
  </conditionalFormatting>
  <printOptions horizontalCentered="1"/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30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" customWidth="1"/>
    <col min="2" max="2" width="30" customWidth="1"/>
    <col min="3" max="4" width="15" customWidth="1"/>
    <col min="5" max="5" width="34" customWidth="1"/>
    <col min="6" max="11" width="15" customWidth="1"/>
  </cols>
  <sheetData>
    <row r="1" spans="2:11" ht="24" customHeight="1" x14ac:dyDescent="0.25">
      <c r="B1" s="31" t="s">
        <v>183</v>
      </c>
      <c r="C1" s="29"/>
      <c r="D1" s="29"/>
      <c r="E1" s="29"/>
      <c r="F1" s="29"/>
      <c r="G1" s="29"/>
      <c r="H1" s="29"/>
      <c r="I1" s="29"/>
      <c r="J1" s="29"/>
      <c r="K1" s="29"/>
    </row>
    <row r="2" spans="2:11" x14ac:dyDescent="0.25">
      <c r="B2" s="30" t="s">
        <v>184</v>
      </c>
      <c r="C2" s="21"/>
      <c r="D2" s="21"/>
      <c r="E2" s="21"/>
      <c r="F2" s="21"/>
      <c r="G2" s="21"/>
      <c r="H2" s="21"/>
      <c r="I2" s="21"/>
      <c r="J2" s="21"/>
      <c r="K2" s="21"/>
    </row>
    <row r="4" spans="2:11" ht="20.100000000000001" customHeight="1" x14ac:dyDescent="0.25">
      <c r="B4" s="28" t="s">
        <v>2</v>
      </c>
      <c r="C4" s="29"/>
      <c r="D4" s="29"/>
      <c r="E4" s="29"/>
      <c r="F4" s="29"/>
      <c r="G4" s="29"/>
      <c r="H4" s="29"/>
      <c r="I4" s="29"/>
      <c r="J4" s="29"/>
      <c r="K4" s="29"/>
    </row>
    <row r="5" spans="2:11" ht="32.1" customHeight="1" x14ac:dyDescent="0.25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2:11" x14ac:dyDescent="0.25">
      <c r="B6" s="3">
        <v>400</v>
      </c>
      <c r="C6" s="3">
        <v>25</v>
      </c>
      <c r="D6" s="3">
        <f>0.6+0.06*$C$6</f>
        <v>2.1</v>
      </c>
      <c r="E6" s="3">
        <v>25</v>
      </c>
      <c r="F6" s="3">
        <v>0.05</v>
      </c>
      <c r="G6" s="3">
        <v>1.5</v>
      </c>
      <c r="H6" s="3">
        <v>2</v>
      </c>
      <c r="I6" s="3">
        <v>18</v>
      </c>
      <c r="J6" s="3">
        <v>28</v>
      </c>
      <c r="K6" s="3">
        <v>0</v>
      </c>
    </row>
    <row r="7" spans="2:11" ht="32.1" customHeight="1" x14ac:dyDescent="0.25"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</row>
    <row r="8" spans="2:11" x14ac:dyDescent="0.25">
      <c r="B8" s="3">
        <v>2</v>
      </c>
      <c r="C8" s="3">
        <v>3</v>
      </c>
      <c r="D8" s="3">
        <v>3</v>
      </c>
      <c r="E8" s="3">
        <f>$B$6/1.15</f>
        <v>347.82608695652175</v>
      </c>
      <c r="F8" s="3">
        <f>$B$6/1</f>
        <v>400</v>
      </c>
      <c r="G8" s="3">
        <v>201.63333057805701</v>
      </c>
      <c r="H8" s="3">
        <f>0.85*$C$6/(1*1.5)</f>
        <v>14.166666666666666</v>
      </c>
      <c r="I8" s="3">
        <f>0.85*$C$6/(1*1.2)</f>
        <v>17.708333333333336</v>
      </c>
      <c r="J8" s="3">
        <f>0.6*$C$6</f>
        <v>15</v>
      </c>
      <c r="K8" s="4">
        <v>14</v>
      </c>
    </row>
    <row r="9" spans="2:11" ht="32.1" customHeight="1" x14ac:dyDescent="0.25"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32</v>
      </c>
    </row>
    <row r="10" spans="2:11" x14ac:dyDescent="0.25">
      <c r="B10" s="3">
        <v>0.4</v>
      </c>
      <c r="C10" s="3">
        <v>0.4</v>
      </c>
      <c r="D10" s="3">
        <v>0.2</v>
      </c>
      <c r="E10" s="3">
        <f>$G$6-$E$15+$D$10</f>
        <v>1.3</v>
      </c>
      <c r="F10" s="3">
        <f>$G$6+$D$10</f>
        <v>1.7</v>
      </c>
      <c r="G10" s="5">
        <v>0.3916</v>
      </c>
      <c r="H10" s="5">
        <v>0.3795</v>
      </c>
      <c r="I10" s="3">
        <v>1.5</v>
      </c>
      <c r="J10" s="3">
        <v>1.2</v>
      </c>
      <c r="K10" s="6" t="s">
        <v>33</v>
      </c>
    </row>
    <row r="12" spans="2:11" ht="20.100000000000001" customHeight="1" x14ac:dyDescent="0.25">
      <c r="B12" s="28" t="s">
        <v>34</v>
      </c>
      <c r="C12" s="29"/>
      <c r="D12" s="29"/>
      <c r="E12" s="29"/>
      <c r="F12" s="29"/>
      <c r="G12" s="29"/>
      <c r="H12" s="29"/>
      <c r="I12" s="29"/>
      <c r="J12" s="29"/>
      <c r="K12" s="29"/>
    </row>
    <row r="13" spans="2:11" ht="20.100000000000001" customHeight="1" x14ac:dyDescent="0.25">
      <c r="B13" s="2"/>
      <c r="C13" s="2" t="s">
        <v>35</v>
      </c>
      <c r="D13" s="2" t="s">
        <v>36</v>
      </c>
      <c r="E13" s="2" t="s">
        <v>37</v>
      </c>
      <c r="F13" s="2" t="s">
        <v>38</v>
      </c>
      <c r="G13" s="2" t="s">
        <v>39</v>
      </c>
      <c r="H13" s="2" t="s">
        <v>40</v>
      </c>
    </row>
    <row r="14" spans="2:11" x14ac:dyDescent="0.25">
      <c r="B14" s="7" t="s">
        <v>41</v>
      </c>
      <c r="C14" s="3">
        <f>$D$19</f>
        <v>0.46368092477478517</v>
      </c>
      <c r="D14" s="3">
        <f>$E$19</f>
        <v>0.46368092477478517</v>
      </c>
      <c r="E14" s="3">
        <f>$G$19</f>
        <v>0.4</v>
      </c>
      <c r="F14" s="5">
        <f>$F$19</f>
        <v>0.22500000000000001</v>
      </c>
      <c r="G14" s="5">
        <f>$F$19</f>
        <v>0.22500000000000001</v>
      </c>
      <c r="H14" s="6"/>
    </row>
    <row r="15" spans="2:11" x14ac:dyDescent="0.25">
      <c r="B15" s="7" t="s">
        <v>42</v>
      </c>
      <c r="C15" s="8">
        <v>1.3</v>
      </c>
      <c r="D15" s="8">
        <v>1.3</v>
      </c>
      <c r="E15" s="8">
        <v>0.4</v>
      </c>
      <c r="F15" s="5">
        <f>$E$15-$F$6-$K$8/2000</f>
        <v>0.34300000000000003</v>
      </c>
      <c r="G15" s="5">
        <f>$E$15-$F$6-1.5*$K$8/1000</f>
        <v>0.32900000000000001</v>
      </c>
      <c r="H15" s="6"/>
    </row>
    <row r="16" spans="2:11" ht="15.75" x14ac:dyDescent="0.25">
      <c r="B16" s="7" t="s">
        <v>40</v>
      </c>
      <c r="C16" s="9" t="str">
        <f>IF($C$15&gt;=$C$14-0.0001,"OK","NON OK")</f>
        <v>OK</v>
      </c>
      <c r="D16" s="9" t="str">
        <f>IF($D$15&gt;=$D$14-0.0001,"OK","NON OK")</f>
        <v>OK</v>
      </c>
      <c r="E16" s="9" t="str">
        <f>IF($E$15&gt;=$E$14-0.0001,"OK","NON OK")</f>
        <v>OK</v>
      </c>
      <c r="F16" s="9" t="str">
        <f>IF($F$15&gt;=$F$14-0.0001,"OK","NON OK")</f>
        <v>OK</v>
      </c>
      <c r="G16" s="9" t="str">
        <f>IF($G$15&gt;=$G$14-0.0001,"OK","NON OK")</f>
        <v>OK</v>
      </c>
      <c r="H16" s="6"/>
    </row>
    <row r="17" spans="2:11" ht="30" customHeight="1" x14ac:dyDescent="0.25">
      <c r="B17" s="20" t="s">
        <v>43</v>
      </c>
      <c r="C17" s="21"/>
      <c r="D17" s="21"/>
      <c r="E17" s="21"/>
      <c r="F17" s="21"/>
      <c r="G17" s="21"/>
      <c r="H17" s="21"/>
      <c r="I17" s="21"/>
      <c r="J17" s="21"/>
      <c r="K17" s="21"/>
    </row>
    <row r="18" spans="2:11" ht="32.1" customHeight="1" x14ac:dyDescent="0.25">
      <c r="B18" s="2" t="s">
        <v>44</v>
      </c>
      <c r="C18" s="2" t="s">
        <v>45</v>
      </c>
      <c r="D18" s="2" t="s">
        <v>46</v>
      </c>
      <c r="E18" s="2" t="s">
        <v>47</v>
      </c>
      <c r="F18" s="2" t="s">
        <v>48</v>
      </c>
      <c r="G18" s="2" t="s">
        <v>49</v>
      </c>
      <c r="H18" s="2"/>
      <c r="I18" s="2"/>
      <c r="J18" s="2"/>
      <c r="K18" s="2"/>
    </row>
    <row r="19" spans="2:11" x14ac:dyDescent="0.25">
      <c r="B19" s="3">
        <f>MAX($E$33,$E$34,$E$35,$E$36,$E$37,$E$38)</f>
        <v>43</v>
      </c>
      <c r="C19" s="5">
        <f>$B$19/($B$8*100)</f>
        <v>0.215</v>
      </c>
      <c r="D19" s="10">
        <f>SQRT($C$19*$B$10/$C$10)</f>
        <v>0.46368092477478517</v>
      </c>
      <c r="E19" s="10">
        <f>SQRT($C$19*$C$10/$B$10)</f>
        <v>0.46368092477478517</v>
      </c>
      <c r="F19" s="5">
        <f>MAX(($C$15-$B$10)/4,($D$15-$C$10)/4)</f>
        <v>0.22500000000000001</v>
      </c>
      <c r="G19" s="10">
        <f>MAX(0.4,CEILING($F$19+$F$6+1.5*$K$8/1000,0.05))</f>
        <v>0.4</v>
      </c>
      <c r="H19" s="6"/>
      <c r="I19" s="6"/>
      <c r="J19" s="6"/>
      <c r="K19" s="6"/>
    </row>
    <row r="21" spans="2:11" ht="20.100000000000001" customHeight="1" x14ac:dyDescent="0.25">
      <c r="B21" s="28" t="s">
        <v>50</v>
      </c>
      <c r="C21" s="29"/>
      <c r="D21" s="29"/>
      <c r="E21" s="29"/>
      <c r="F21" s="29"/>
      <c r="G21" s="29"/>
      <c r="H21" s="29"/>
      <c r="I21" s="29"/>
      <c r="J21" s="29"/>
      <c r="K21" s="29"/>
    </row>
    <row r="22" spans="2:11" ht="20.100000000000001" customHeight="1" x14ac:dyDescent="0.25">
      <c r="B22" s="2" t="s">
        <v>51</v>
      </c>
      <c r="C22" s="2" t="s">
        <v>52</v>
      </c>
      <c r="D22" s="2" t="s">
        <v>53</v>
      </c>
      <c r="E22" s="2" t="s">
        <v>54</v>
      </c>
      <c r="F22" s="2" t="s">
        <v>55</v>
      </c>
      <c r="G22" s="2" t="s">
        <v>56</v>
      </c>
      <c r="H22" s="2" t="s">
        <v>57</v>
      </c>
      <c r="I22" s="2" t="s">
        <v>58</v>
      </c>
    </row>
    <row r="23" spans="2:11" x14ac:dyDescent="0.25">
      <c r="B23" s="7" t="s">
        <v>59</v>
      </c>
      <c r="C23" s="6" t="s">
        <v>60</v>
      </c>
      <c r="D23" s="6" t="s">
        <v>185</v>
      </c>
      <c r="E23" s="10">
        <v>59.25</v>
      </c>
      <c r="F23" s="3">
        <v>0</v>
      </c>
      <c r="G23" s="3">
        <v>0</v>
      </c>
      <c r="H23" s="3">
        <v>0</v>
      </c>
      <c r="I23" s="3">
        <v>4.05</v>
      </c>
    </row>
    <row r="24" spans="2:11" x14ac:dyDescent="0.25">
      <c r="B24" s="7" t="s">
        <v>62</v>
      </c>
      <c r="C24" s="6" t="s">
        <v>60</v>
      </c>
      <c r="D24" s="6" t="s">
        <v>185</v>
      </c>
      <c r="E24" s="10">
        <v>47.25</v>
      </c>
      <c r="F24" s="3">
        <v>0</v>
      </c>
      <c r="G24" s="3">
        <v>0</v>
      </c>
      <c r="H24" s="3">
        <v>0</v>
      </c>
      <c r="I24" s="3">
        <v>4.05</v>
      </c>
    </row>
    <row r="25" spans="2:11" x14ac:dyDescent="0.25">
      <c r="B25" s="7" t="s">
        <v>63</v>
      </c>
      <c r="C25" s="6" t="s">
        <v>60</v>
      </c>
      <c r="D25" s="6" t="s">
        <v>185</v>
      </c>
      <c r="E25" s="10">
        <v>2.25</v>
      </c>
      <c r="F25" s="3">
        <v>0</v>
      </c>
      <c r="G25" s="3">
        <v>0</v>
      </c>
      <c r="H25" s="3">
        <v>0</v>
      </c>
      <c r="I25" s="3">
        <v>-9.4499999999999993</v>
      </c>
    </row>
    <row r="26" spans="2:11" x14ac:dyDescent="0.25">
      <c r="B26" s="7" t="s">
        <v>64</v>
      </c>
      <c r="C26" s="6" t="s">
        <v>60</v>
      </c>
      <c r="D26" s="6" t="s">
        <v>185</v>
      </c>
      <c r="E26" s="10">
        <v>47.25</v>
      </c>
      <c r="F26" s="3">
        <v>0</v>
      </c>
      <c r="G26" s="3">
        <v>0</v>
      </c>
      <c r="H26" s="3">
        <v>0</v>
      </c>
      <c r="I26" s="3">
        <v>4.05</v>
      </c>
    </row>
    <row r="27" spans="2:11" x14ac:dyDescent="0.25">
      <c r="B27" s="7" t="s">
        <v>65</v>
      </c>
      <c r="C27" s="6" t="s">
        <v>60</v>
      </c>
      <c r="D27" s="6" t="s">
        <v>185</v>
      </c>
      <c r="E27" s="10">
        <v>-10</v>
      </c>
      <c r="F27" s="3">
        <v>0</v>
      </c>
      <c r="G27" s="3">
        <v>0</v>
      </c>
      <c r="H27" s="3">
        <v>0</v>
      </c>
      <c r="I27" s="3">
        <v>-10.5</v>
      </c>
    </row>
    <row r="28" spans="2:11" x14ac:dyDescent="0.25">
      <c r="B28" s="7" t="s">
        <v>66</v>
      </c>
      <c r="C28" s="6" t="s">
        <v>60</v>
      </c>
      <c r="D28" s="6" t="s">
        <v>185</v>
      </c>
      <c r="E28" s="10">
        <v>35</v>
      </c>
      <c r="F28" s="3">
        <v>0</v>
      </c>
      <c r="G28" s="3">
        <v>0</v>
      </c>
      <c r="H28" s="3">
        <v>0</v>
      </c>
      <c r="I28" s="3">
        <v>3</v>
      </c>
    </row>
    <row r="29" spans="2:11" x14ac:dyDescent="0.25">
      <c r="B29" s="7" t="s">
        <v>67</v>
      </c>
      <c r="C29" s="6" t="s">
        <v>60</v>
      </c>
      <c r="D29" s="6" t="s">
        <v>185</v>
      </c>
      <c r="E29" s="10">
        <v>17.55</v>
      </c>
      <c r="F29" s="3">
        <v>0</v>
      </c>
      <c r="G29" s="3">
        <v>0</v>
      </c>
      <c r="H29" s="3">
        <v>0</v>
      </c>
      <c r="I29" s="3">
        <v>-8.1</v>
      </c>
    </row>
    <row r="30" spans="2:11" x14ac:dyDescent="0.25">
      <c r="B30" s="7" t="s">
        <v>68</v>
      </c>
      <c r="C30" s="6" t="s">
        <v>60</v>
      </c>
      <c r="D30" s="6" t="s">
        <v>185</v>
      </c>
      <c r="E30" s="10">
        <v>58.05</v>
      </c>
      <c r="F30" s="3">
        <v>0</v>
      </c>
      <c r="G30" s="3">
        <v>0</v>
      </c>
      <c r="H30" s="3">
        <v>0</v>
      </c>
      <c r="I30" s="3">
        <v>4.05</v>
      </c>
    </row>
    <row r="31" spans="2:11" x14ac:dyDescent="0.25">
      <c r="B31" s="7" t="s">
        <v>69</v>
      </c>
      <c r="C31" s="6" t="s">
        <v>60</v>
      </c>
      <c r="D31" s="6" t="s">
        <v>185</v>
      </c>
      <c r="E31" s="10">
        <v>6.75</v>
      </c>
      <c r="F31" s="3">
        <v>0</v>
      </c>
      <c r="G31" s="3">
        <v>0</v>
      </c>
      <c r="H31" s="3">
        <v>0</v>
      </c>
      <c r="I31" s="3">
        <v>-8.1</v>
      </c>
    </row>
    <row r="32" spans="2:11" x14ac:dyDescent="0.25">
      <c r="B32" s="7" t="s">
        <v>70</v>
      </c>
      <c r="C32" s="6" t="s">
        <v>60</v>
      </c>
      <c r="D32" s="6" t="s">
        <v>185</v>
      </c>
      <c r="E32" s="10">
        <v>47.25</v>
      </c>
      <c r="F32" s="3">
        <v>0</v>
      </c>
      <c r="G32" s="3">
        <v>0</v>
      </c>
      <c r="H32" s="3">
        <v>0</v>
      </c>
      <c r="I32" s="3">
        <v>4.05</v>
      </c>
    </row>
    <row r="33" spans="2:11" x14ac:dyDescent="0.25">
      <c r="B33" s="7" t="s">
        <v>71</v>
      </c>
      <c r="C33" s="6" t="s">
        <v>72</v>
      </c>
      <c r="D33" s="6" t="s">
        <v>185</v>
      </c>
      <c r="E33" s="10">
        <v>43</v>
      </c>
      <c r="F33" s="3">
        <v>0</v>
      </c>
      <c r="G33" s="3">
        <v>0</v>
      </c>
      <c r="H33" s="3">
        <v>0</v>
      </c>
      <c r="I33" s="3">
        <v>3</v>
      </c>
    </row>
    <row r="34" spans="2:11" x14ac:dyDescent="0.25">
      <c r="B34" s="7" t="s">
        <v>73</v>
      </c>
      <c r="C34" s="6" t="s">
        <v>72</v>
      </c>
      <c r="D34" s="6" t="s">
        <v>185</v>
      </c>
      <c r="E34" s="10">
        <v>35</v>
      </c>
      <c r="F34" s="3">
        <v>0</v>
      </c>
      <c r="G34" s="3">
        <v>0</v>
      </c>
      <c r="H34" s="3">
        <v>0</v>
      </c>
      <c r="I34" s="3">
        <v>3</v>
      </c>
    </row>
    <row r="35" spans="2:11" x14ac:dyDescent="0.25">
      <c r="B35" s="7" t="s">
        <v>74</v>
      </c>
      <c r="C35" s="6" t="s">
        <v>72</v>
      </c>
      <c r="D35" s="6" t="s">
        <v>185</v>
      </c>
      <c r="E35" s="10">
        <v>5</v>
      </c>
      <c r="F35" s="3">
        <v>0</v>
      </c>
      <c r="G35" s="3">
        <v>0</v>
      </c>
      <c r="H35" s="3">
        <v>0</v>
      </c>
      <c r="I35" s="3">
        <v>-6</v>
      </c>
    </row>
    <row r="36" spans="2:11" x14ac:dyDescent="0.25">
      <c r="B36" s="7" t="s">
        <v>75</v>
      </c>
      <c r="C36" s="6" t="s">
        <v>72</v>
      </c>
      <c r="D36" s="6" t="s">
        <v>185</v>
      </c>
      <c r="E36" s="10">
        <v>35</v>
      </c>
      <c r="F36" s="3">
        <v>0</v>
      </c>
      <c r="G36" s="3">
        <v>0</v>
      </c>
      <c r="H36" s="3">
        <v>0</v>
      </c>
      <c r="I36" s="3">
        <v>3</v>
      </c>
    </row>
    <row r="37" spans="2:11" x14ac:dyDescent="0.25">
      <c r="B37" s="7" t="s">
        <v>76</v>
      </c>
      <c r="C37" s="6" t="s">
        <v>72</v>
      </c>
      <c r="D37" s="6" t="s">
        <v>185</v>
      </c>
      <c r="E37" s="10">
        <v>15.2</v>
      </c>
      <c r="F37" s="3">
        <v>0</v>
      </c>
      <c r="G37" s="3">
        <v>0</v>
      </c>
      <c r="H37" s="3">
        <v>0</v>
      </c>
      <c r="I37" s="3">
        <v>-5.0999999999999996</v>
      </c>
    </row>
    <row r="38" spans="2:11" x14ac:dyDescent="0.25">
      <c r="B38" s="7" t="s">
        <v>77</v>
      </c>
      <c r="C38" s="6" t="s">
        <v>72</v>
      </c>
      <c r="D38" s="6" t="s">
        <v>185</v>
      </c>
      <c r="E38" s="10">
        <v>42.2</v>
      </c>
      <c r="F38" s="3">
        <v>0</v>
      </c>
      <c r="G38" s="3">
        <v>0</v>
      </c>
      <c r="H38" s="3">
        <v>0</v>
      </c>
      <c r="I38" s="3">
        <v>3</v>
      </c>
    </row>
    <row r="39" spans="2:11" x14ac:dyDescent="0.25">
      <c r="B39" s="7" t="s">
        <v>78</v>
      </c>
      <c r="C39" s="6" t="s">
        <v>79</v>
      </c>
      <c r="D39" s="6" t="s">
        <v>185</v>
      </c>
      <c r="E39" s="10">
        <v>48.2</v>
      </c>
      <c r="F39" s="3">
        <v>0</v>
      </c>
      <c r="G39" s="3">
        <v>0</v>
      </c>
      <c r="H39" s="3">
        <v>21.6</v>
      </c>
      <c r="I39" s="3">
        <v>3</v>
      </c>
    </row>
    <row r="40" spans="2:11" x14ac:dyDescent="0.25">
      <c r="B40" s="7" t="s">
        <v>80</v>
      </c>
      <c r="C40" s="6" t="s">
        <v>79</v>
      </c>
      <c r="D40" s="6" t="s">
        <v>185</v>
      </c>
      <c r="E40" s="10">
        <v>48.2</v>
      </c>
      <c r="F40" s="3">
        <v>0</v>
      </c>
      <c r="G40" s="3">
        <v>0</v>
      </c>
      <c r="H40" s="3">
        <v>21.6</v>
      </c>
      <c r="I40" s="3">
        <v>3</v>
      </c>
    </row>
    <row r="41" spans="2:11" x14ac:dyDescent="0.25">
      <c r="B41" s="7" t="s">
        <v>81</v>
      </c>
      <c r="C41" s="6" t="s">
        <v>79</v>
      </c>
      <c r="D41" s="6" t="s">
        <v>185</v>
      </c>
      <c r="E41" s="10">
        <v>40.64</v>
      </c>
      <c r="F41" s="3">
        <v>0</v>
      </c>
      <c r="G41" s="3">
        <v>0</v>
      </c>
      <c r="H41" s="3">
        <v>6.48</v>
      </c>
      <c r="I41" s="3">
        <v>3</v>
      </c>
    </row>
    <row r="42" spans="2:11" x14ac:dyDescent="0.25">
      <c r="B42" s="7" t="s">
        <v>82</v>
      </c>
      <c r="C42" s="6" t="s">
        <v>79</v>
      </c>
      <c r="D42" s="6" t="s">
        <v>185</v>
      </c>
      <c r="E42" s="10">
        <v>40.64</v>
      </c>
      <c r="F42" s="3">
        <v>0</v>
      </c>
      <c r="G42" s="3">
        <v>0</v>
      </c>
      <c r="H42" s="3">
        <v>6.48</v>
      </c>
      <c r="I42" s="3">
        <v>3</v>
      </c>
    </row>
    <row r="43" spans="2:11" x14ac:dyDescent="0.25">
      <c r="B43" s="7" t="s">
        <v>83</v>
      </c>
      <c r="C43" s="6" t="s">
        <v>79</v>
      </c>
      <c r="D43" s="6" t="s">
        <v>185</v>
      </c>
      <c r="E43" s="10">
        <v>26.6</v>
      </c>
      <c r="F43" s="3">
        <v>0</v>
      </c>
      <c r="G43" s="3">
        <v>0</v>
      </c>
      <c r="H43" s="3">
        <v>-21.6</v>
      </c>
      <c r="I43" s="3">
        <v>3</v>
      </c>
    </row>
    <row r="44" spans="2:11" x14ac:dyDescent="0.25">
      <c r="B44" s="7" t="s">
        <v>84</v>
      </c>
      <c r="C44" s="6" t="s">
        <v>79</v>
      </c>
      <c r="D44" s="6" t="s">
        <v>185</v>
      </c>
      <c r="E44" s="10">
        <v>26.6</v>
      </c>
      <c r="F44" s="3">
        <v>0</v>
      </c>
      <c r="G44" s="3">
        <v>0</v>
      </c>
      <c r="H44" s="3">
        <v>-21.6</v>
      </c>
      <c r="I44" s="3">
        <v>3</v>
      </c>
    </row>
    <row r="45" spans="2:11" x14ac:dyDescent="0.25">
      <c r="B45" s="7" t="s">
        <v>85</v>
      </c>
      <c r="C45" s="6" t="s">
        <v>79</v>
      </c>
      <c r="D45" s="6" t="s">
        <v>185</v>
      </c>
      <c r="E45" s="10">
        <v>34.159999999999997</v>
      </c>
      <c r="F45" s="3">
        <v>0</v>
      </c>
      <c r="G45" s="3">
        <v>0</v>
      </c>
      <c r="H45" s="3">
        <v>-6.48</v>
      </c>
      <c r="I45" s="3">
        <v>3</v>
      </c>
    </row>
    <row r="46" spans="2:11" x14ac:dyDescent="0.25">
      <c r="B46" s="7" t="s">
        <v>86</v>
      </c>
      <c r="C46" s="6" t="s">
        <v>79</v>
      </c>
      <c r="D46" s="6" t="s">
        <v>185</v>
      </c>
      <c r="E46" s="10">
        <v>34.159999999999997</v>
      </c>
      <c r="F46" s="3">
        <v>0</v>
      </c>
      <c r="G46" s="3">
        <v>0</v>
      </c>
      <c r="H46" s="3">
        <v>-6.48</v>
      </c>
      <c r="I46" s="3">
        <v>3</v>
      </c>
    </row>
    <row r="48" spans="2:11" ht="20.100000000000001" customHeight="1" x14ac:dyDescent="0.25">
      <c r="B48" s="28" t="s">
        <v>87</v>
      </c>
      <c r="C48" s="29"/>
      <c r="D48" s="29"/>
      <c r="E48" s="29"/>
      <c r="F48" s="29"/>
      <c r="G48" s="29"/>
      <c r="H48" s="29"/>
      <c r="I48" s="29"/>
      <c r="J48" s="29"/>
      <c r="K48" s="29"/>
    </row>
    <row r="49" spans="2:11" ht="20.100000000000001" customHeight="1" x14ac:dyDescent="0.25">
      <c r="B49" s="2" t="s">
        <v>88</v>
      </c>
      <c r="C49" s="23" t="s">
        <v>89</v>
      </c>
      <c r="D49" s="24"/>
      <c r="E49" s="25"/>
      <c r="F49" s="2" t="s">
        <v>90</v>
      </c>
    </row>
    <row r="50" spans="2:11" x14ac:dyDescent="0.25">
      <c r="B50" s="7" t="s">
        <v>91</v>
      </c>
      <c r="C50" s="18" t="s">
        <v>92</v>
      </c>
      <c r="D50" s="19"/>
      <c r="E50" s="19"/>
      <c r="F50" s="3">
        <f>$E$6*$C$15*$D$15*$E$15</f>
        <v>16.900000000000002</v>
      </c>
    </row>
    <row r="51" spans="2:11" x14ac:dyDescent="0.25">
      <c r="B51" s="7" t="s">
        <v>93</v>
      </c>
      <c r="C51" s="18" t="s">
        <v>94</v>
      </c>
      <c r="D51" s="19"/>
      <c r="E51" s="19"/>
      <c r="F51" s="3">
        <f>$E$6*$B$10*$C$10*$E$10</f>
        <v>5.2</v>
      </c>
    </row>
    <row r="52" spans="2:11" x14ac:dyDescent="0.25">
      <c r="B52" s="7" t="s">
        <v>95</v>
      </c>
      <c r="C52" s="18" t="s">
        <v>96</v>
      </c>
      <c r="D52" s="19"/>
      <c r="E52" s="19"/>
      <c r="F52" s="3">
        <f>$I$6*($C$15*$D$15-$B$10*$C$10)*MAX($G$6-$E$15,0)</f>
        <v>30.294000000000008</v>
      </c>
    </row>
    <row r="53" spans="2:11" x14ac:dyDescent="0.25">
      <c r="B53" s="11" t="s">
        <v>97</v>
      </c>
      <c r="C53" s="18" t="s">
        <v>98</v>
      </c>
      <c r="D53" s="19"/>
      <c r="E53" s="19"/>
      <c r="F53" s="10">
        <f>$F$50+$F$51+$F$52</f>
        <v>52.394000000000005</v>
      </c>
    </row>
    <row r="55" spans="2:11" ht="20.100000000000001" customHeight="1" x14ac:dyDescent="0.25">
      <c r="B55" s="28" t="s">
        <v>99</v>
      </c>
      <c r="C55" s="29"/>
      <c r="D55" s="29"/>
      <c r="E55" s="29"/>
      <c r="F55" s="29"/>
      <c r="G55" s="29"/>
      <c r="H55" s="29"/>
      <c r="I55" s="29"/>
      <c r="J55" s="29"/>
      <c r="K55" s="29"/>
    </row>
    <row r="56" spans="2:11" ht="30" customHeight="1" x14ac:dyDescent="0.25">
      <c r="B56" s="20" t="s">
        <v>100</v>
      </c>
      <c r="C56" s="21"/>
      <c r="D56" s="21"/>
      <c r="E56" s="21"/>
      <c r="F56" s="21"/>
      <c r="G56" s="21"/>
      <c r="H56" s="21"/>
      <c r="I56" s="21"/>
      <c r="J56" s="21"/>
      <c r="K56" s="21"/>
    </row>
    <row r="57" spans="2:11" ht="32.1" customHeight="1" x14ac:dyDescent="0.25">
      <c r="B57" s="2" t="s">
        <v>51</v>
      </c>
      <c r="C57" s="2" t="s">
        <v>101</v>
      </c>
      <c r="D57" s="2" t="s">
        <v>102</v>
      </c>
      <c r="E57" s="2" t="s">
        <v>103</v>
      </c>
      <c r="F57" s="2" t="s">
        <v>104</v>
      </c>
      <c r="G57" s="2" t="s">
        <v>105</v>
      </c>
      <c r="H57" s="2" t="s">
        <v>106</v>
      </c>
    </row>
    <row r="58" spans="2:11" x14ac:dyDescent="0.25">
      <c r="B58" s="7" t="s">
        <v>59</v>
      </c>
      <c r="C58" s="3">
        <v>1.35</v>
      </c>
      <c r="D58" s="10">
        <f>$E$23+$C$58*$F$53</f>
        <v>129.9819</v>
      </c>
      <c r="E58" s="3">
        <f>$G$23+$H$23*$F$10</f>
        <v>0</v>
      </c>
      <c r="F58" s="3">
        <f>$F$23-$I$23*$F$10</f>
        <v>-6.8849999999999998</v>
      </c>
      <c r="G58" s="5">
        <f>IF($D$58&gt;0,ABS($E$58)/$D$58,"N ≤ 0")</f>
        <v>0</v>
      </c>
      <c r="H58" s="5">
        <f>IF($D$58&gt;0,ABS($F$58)/$D$58,"N ≤ 0")</f>
        <v>5.2968913364091465E-2</v>
      </c>
    </row>
    <row r="59" spans="2:11" x14ac:dyDescent="0.25">
      <c r="B59" s="7" t="s">
        <v>62</v>
      </c>
      <c r="C59" s="3">
        <v>1.35</v>
      </c>
      <c r="D59" s="10">
        <f>$E$24+$C$59*$F$53</f>
        <v>117.98190000000001</v>
      </c>
      <c r="E59" s="3">
        <f>$G$24+$H$24*$F$10</f>
        <v>0</v>
      </c>
      <c r="F59" s="3">
        <f>$F$24-$I$24*$F$10</f>
        <v>-6.8849999999999998</v>
      </c>
      <c r="G59" s="5">
        <f>IF($D$59&gt;0,ABS($E$59)/$D$59,"N ≤ 0")</f>
        <v>0</v>
      </c>
      <c r="H59" s="5">
        <f>IF($D$59&gt;0,ABS($F$59)/$D$59,"N ≤ 0")</f>
        <v>5.8356408906789933E-2</v>
      </c>
    </row>
    <row r="60" spans="2:11" x14ac:dyDescent="0.25">
      <c r="B60" s="7" t="s">
        <v>63</v>
      </c>
      <c r="C60" s="3">
        <v>1.35</v>
      </c>
      <c r="D60" s="10">
        <f>$E$25+$C$60*$F$53</f>
        <v>72.98190000000001</v>
      </c>
      <c r="E60" s="3">
        <f>$G$25+$H$25*$F$10</f>
        <v>0</v>
      </c>
      <c r="F60" s="3">
        <f>$F$25-$I$25*$F$10</f>
        <v>16.064999999999998</v>
      </c>
      <c r="G60" s="5">
        <f>IF($D$60&gt;0,ABS($E$60)/$D$60,"N ≤ 0")</f>
        <v>0</v>
      </c>
      <c r="H60" s="5">
        <f>IF($D$60&gt;0,ABS($F$60)/$D$60,"N ≤ 0")</f>
        <v>0.22012307161090619</v>
      </c>
    </row>
    <row r="61" spans="2:11" x14ac:dyDescent="0.25">
      <c r="B61" s="7" t="s">
        <v>64</v>
      </c>
      <c r="C61" s="3">
        <v>1.35</v>
      </c>
      <c r="D61" s="10">
        <f>$E$26+$C$61*$F$53</f>
        <v>117.98190000000001</v>
      </c>
      <c r="E61" s="3">
        <f>$G$26+$H$26*$F$10</f>
        <v>0</v>
      </c>
      <c r="F61" s="3">
        <f>$F$26-$I$26*$F$10</f>
        <v>-6.8849999999999998</v>
      </c>
      <c r="G61" s="5">
        <f>IF($D$61&gt;0,ABS($E$61)/$D$61,"N ≤ 0")</f>
        <v>0</v>
      </c>
      <c r="H61" s="5">
        <f>IF($D$61&gt;0,ABS($F$61)/$D$61,"N ≤ 0")</f>
        <v>5.8356408906789933E-2</v>
      </c>
    </row>
    <row r="62" spans="2:11" x14ac:dyDescent="0.25">
      <c r="B62" s="7" t="s">
        <v>65</v>
      </c>
      <c r="C62" s="3">
        <v>1</v>
      </c>
      <c r="D62" s="10">
        <f>$E$27+$C$62*$F$53</f>
        <v>42.394000000000005</v>
      </c>
      <c r="E62" s="3">
        <f>$G$27+$H$27*$F$10</f>
        <v>0</v>
      </c>
      <c r="F62" s="3">
        <f>$F$27-$I$27*$F$10</f>
        <v>17.849999999999998</v>
      </c>
      <c r="G62" s="5">
        <f>IF($D$62&gt;0,ABS($E$62)/$D$62,"N ≤ 0")</f>
        <v>0</v>
      </c>
      <c r="H62" s="5">
        <f>IF($D$62&gt;0,ABS($F$62)/$D$62,"N ≤ 0")</f>
        <v>0.4210501486059347</v>
      </c>
    </row>
    <row r="63" spans="2:11" x14ac:dyDescent="0.25">
      <c r="B63" s="7" t="s">
        <v>66</v>
      </c>
      <c r="C63" s="3">
        <v>1</v>
      </c>
      <c r="D63" s="10">
        <f>$E$28+$C$63*$F$53</f>
        <v>87.394000000000005</v>
      </c>
      <c r="E63" s="3">
        <f>$G$28+$H$28*$F$10</f>
        <v>0</v>
      </c>
      <c r="F63" s="3">
        <f>$F$28-$I$28*$F$10</f>
        <v>-5.0999999999999996</v>
      </c>
      <c r="G63" s="5">
        <f>IF($D$63&gt;0,ABS($E$63)/$D$63,"N ≤ 0")</f>
        <v>0</v>
      </c>
      <c r="H63" s="5">
        <f>IF($D$63&gt;0,ABS($F$63)/$D$63,"N ≤ 0")</f>
        <v>5.8356408906789933E-2</v>
      </c>
    </row>
    <row r="64" spans="2:11" x14ac:dyDescent="0.25">
      <c r="B64" s="7" t="s">
        <v>67</v>
      </c>
      <c r="C64" s="3">
        <v>1.35</v>
      </c>
      <c r="D64" s="10">
        <f>$E$29+$C$64*$F$53</f>
        <v>88.281900000000007</v>
      </c>
      <c r="E64" s="3">
        <f>$G$29+$H$29*$F$10</f>
        <v>0</v>
      </c>
      <c r="F64" s="3">
        <f>$F$29-$I$29*$F$10</f>
        <v>13.77</v>
      </c>
      <c r="G64" s="5">
        <f>IF($D$64&gt;0,ABS($E$64)/$D$64,"N ≤ 0")</f>
        <v>0</v>
      </c>
      <c r="H64" s="5">
        <f>IF($D$64&gt;0,ABS($F$64)/$D$64,"N ≤ 0")</f>
        <v>0.15597761262501145</v>
      </c>
    </row>
    <row r="65" spans="2:8" x14ac:dyDescent="0.25">
      <c r="B65" s="7" t="s">
        <v>68</v>
      </c>
      <c r="C65" s="3">
        <v>1.35</v>
      </c>
      <c r="D65" s="10">
        <f>$E$30+$C$65*$F$53</f>
        <v>128.78190000000001</v>
      </c>
      <c r="E65" s="3">
        <f>$G$30+$H$30*$F$10</f>
        <v>0</v>
      </c>
      <c r="F65" s="3">
        <f>$F$30-$I$30*$F$10</f>
        <v>-6.8849999999999998</v>
      </c>
      <c r="G65" s="5">
        <f>IF($D$65&gt;0,ABS($E$65)/$D$65,"N ≤ 0")</f>
        <v>0</v>
      </c>
      <c r="H65" s="5">
        <f>IF($D$65&gt;0,ABS($F$65)/$D$65,"N ≤ 0")</f>
        <v>5.3462481917101699E-2</v>
      </c>
    </row>
    <row r="66" spans="2:8" x14ac:dyDescent="0.25">
      <c r="B66" s="7" t="s">
        <v>69</v>
      </c>
      <c r="C66" s="3">
        <v>1.35</v>
      </c>
      <c r="D66" s="10">
        <f>$E$31+$C$66*$F$53</f>
        <v>77.48190000000001</v>
      </c>
      <c r="E66" s="3">
        <f>$G$31+$H$31*$F$10</f>
        <v>0</v>
      </c>
      <c r="F66" s="3">
        <f>$F$31-$I$31*$F$10</f>
        <v>13.77</v>
      </c>
      <c r="G66" s="5">
        <f>IF($D$66&gt;0,ABS($E$66)/$D$66,"N ≤ 0")</f>
        <v>0</v>
      </c>
      <c r="H66" s="5">
        <f>IF($D$66&gt;0,ABS($F$66)/$D$66,"N ≤ 0")</f>
        <v>0.17771892532320449</v>
      </c>
    </row>
    <row r="67" spans="2:8" x14ac:dyDescent="0.25">
      <c r="B67" s="7" t="s">
        <v>70</v>
      </c>
      <c r="C67" s="3">
        <v>1.35</v>
      </c>
      <c r="D67" s="10">
        <f>$E$32+$C$67*$F$53</f>
        <v>117.98190000000001</v>
      </c>
      <c r="E67" s="3">
        <f>$G$32+$H$32*$F$10</f>
        <v>0</v>
      </c>
      <c r="F67" s="3">
        <f>$F$32-$I$32*$F$10</f>
        <v>-6.8849999999999998</v>
      </c>
      <c r="G67" s="5">
        <f>IF($D$67&gt;0,ABS($E$67)/$D$67,"N ≤ 0")</f>
        <v>0</v>
      </c>
      <c r="H67" s="5">
        <f>IF($D$67&gt;0,ABS($F$67)/$D$67,"N ≤ 0")</f>
        <v>5.8356408906789933E-2</v>
      </c>
    </row>
    <row r="68" spans="2:8" x14ac:dyDescent="0.25">
      <c r="B68" s="7" t="s">
        <v>71</v>
      </c>
      <c r="C68" s="3">
        <v>1</v>
      </c>
      <c r="D68" s="10">
        <f>$E$33+$C$68*$F$53</f>
        <v>95.394000000000005</v>
      </c>
      <c r="E68" s="3">
        <f>$G$33+$H$33*$F$10</f>
        <v>0</v>
      </c>
      <c r="F68" s="3">
        <f>$F$33-$I$33*$F$10</f>
        <v>-5.0999999999999996</v>
      </c>
      <c r="G68" s="5">
        <f>IF($D$68&gt;0,ABS($E$68)/$D$68,"N ≤ 0")</f>
        <v>0</v>
      </c>
      <c r="H68" s="5">
        <f>IF($D$68&gt;0,ABS($F$68)/$D$68,"N ≤ 0")</f>
        <v>5.3462481917101699E-2</v>
      </c>
    </row>
    <row r="69" spans="2:8" x14ac:dyDescent="0.25">
      <c r="B69" s="7" t="s">
        <v>73</v>
      </c>
      <c r="C69" s="3">
        <v>1</v>
      </c>
      <c r="D69" s="10">
        <f>$E$34+$C$69*$F$53</f>
        <v>87.394000000000005</v>
      </c>
      <c r="E69" s="3">
        <f>$G$34+$H$34*$F$10</f>
        <v>0</v>
      </c>
      <c r="F69" s="3">
        <f>$F$34-$I$34*$F$10</f>
        <v>-5.0999999999999996</v>
      </c>
      <c r="G69" s="5">
        <f>IF($D$69&gt;0,ABS($E$69)/$D$69,"N ≤ 0")</f>
        <v>0</v>
      </c>
      <c r="H69" s="5">
        <f>IF($D$69&gt;0,ABS($F$69)/$D$69,"N ≤ 0")</f>
        <v>5.8356408906789933E-2</v>
      </c>
    </row>
    <row r="70" spans="2:8" x14ac:dyDescent="0.25">
      <c r="B70" s="7" t="s">
        <v>74</v>
      </c>
      <c r="C70" s="3">
        <v>1</v>
      </c>
      <c r="D70" s="10">
        <f>$E$35+$C$70*$F$53</f>
        <v>57.394000000000005</v>
      </c>
      <c r="E70" s="3">
        <f>$G$35+$H$35*$F$10</f>
        <v>0</v>
      </c>
      <c r="F70" s="3">
        <f>$F$35-$I$35*$F$10</f>
        <v>10.199999999999999</v>
      </c>
      <c r="G70" s="5">
        <f>IF($D$70&gt;0,ABS($E$70)/$D$70,"N ≤ 0")</f>
        <v>0</v>
      </c>
      <c r="H70" s="5">
        <f>IF($D$70&gt;0,ABS($F$70)/$D$70,"N ≤ 0")</f>
        <v>0.17771892532320449</v>
      </c>
    </row>
    <row r="71" spans="2:8" x14ac:dyDescent="0.25">
      <c r="B71" s="7" t="s">
        <v>75</v>
      </c>
      <c r="C71" s="3">
        <v>1</v>
      </c>
      <c r="D71" s="10">
        <f>$E$36+$C$71*$F$53</f>
        <v>87.394000000000005</v>
      </c>
      <c r="E71" s="3">
        <f>$G$36+$H$36*$F$10</f>
        <v>0</v>
      </c>
      <c r="F71" s="3">
        <f>$F$36-$I$36*$F$10</f>
        <v>-5.0999999999999996</v>
      </c>
      <c r="G71" s="5">
        <f>IF($D$71&gt;0,ABS($E$71)/$D$71,"N ≤ 0")</f>
        <v>0</v>
      </c>
      <c r="H71" s="5">
        <f>IF($D$71&gt;0,ABS($F$71)/$D$71,"N ≤ 0")</f>
        <v>5.8356408906789933E-2</v>
      </c>
    </row>
    <row r="72" spans="2:8" x14ac:dyDescent="0.25">
      <c r="B72" s="7" t="s">
        <v>76</v>
      </c>
      <c r="C72" s="3">
        <v>1</v>
      </c>
      <c r="D72" s="10">
        <f>$E$37+$C$72*$F$53</f>
        <v>67.594000000000008</v>
      </c>
      <c r="E72" s="3">
        <f>$G$37+$H$37*$F$10</f>
        <v>0</v>
      </c>
      <c r="F72" s="3">
        <f>$F$37-$I$37*$F$10</f>
        <v>8.67</v>
      </c>
      <c r="G72" s="5">
        <f>IF($D$72&gt;0,ABS($E$72)/$D$72,"N ≤ 0")</f>
        <v>0</v>
      </c>
      <c r="H72" s="5">
        <f>IF($D$72&gt;0,ABS($F$72)/$D$72,"N ≤ 0")</f>
        <v>0.12826582241027309</v>
      </c>
    </row>
    <row r="73" spans="2:8" x14ac:dyDescent="0.25">
      <c r="B73" s="7" t="s">
        <v>77</v>
      </c>
      <c r="C73" s="3">
        <v>1</v>
      </c>
      <c r="D73" s="10">
        <f>$E$38+$C$73*$F$53</f>
        <v>94.594000000000008</v>
      </c>
      <c r="E73" s="3">
        <f>$G$38+$H$38*$F$10</f>
        <v>0</v>
      </c>
      <c r="F73" s="3">
        <f>$F$38-$I$38*$F$10</f>
        <v>-5.0999999999999996</v>
      </c>
      <c r="G73" s="5">
        <f>IF($D$73&gt;0,ABS($E$73)/$D$73,"N ≤ 0")</f>
        <v>0</v>
      </c>
      <c r="H73" s="5">
        <f>IF($D$73&gt;0,ABS($F$73)/$D$73,"N ≤ 0")</f>
        <v>5.3914624606211804E-2</v>
      </c>
    </row>
    <row r="74" spans="2:8" x14ac:dyDescent="0.25">
      <c r="B74" s="7" t="s">
        <v>78</v>
      </c>
      <c r="C74" s="3">
        <v>1</v>
      </c>
      <c r="D74" s="10">
        <f>$E$39+$C$74*$F$53</f>
        <v>100.59400000000001</v>
      </c>
      <c r="E74" s="3">
        <f>$G$39+$H$39*$F$10</f>
        <v>36.72</v>
      </c>
      <c r="F74" s="3">
        <f>$F$39-$I$39*$F$10</f>
        <v>-5.0999999999999996</v>
      </c>
      <c r="G74" s="5">
        <f>IF($D$74&gt;0,ABS($E$74)/$D$74,"N ≤ 0")</f>
        <v>0.36503171163290055</v>
      </c>
      <c r="H74" s="5">
        <f>IF($D$74&gt;0,ABS($F$74)/$D$74,"N ≤ 0")</f>
        <v>5.0698848837902849E-2</v>
      </c>
    </row>
    <row r="75" spans="2:8" x14ac:dyDescent="0.25">
      <c r="B75" s="7" t="s">
        <v>80</v>
      </c>
      <c r="C75" s="3">
        <v>1</v>
      </c>
      <c r="D75" s="10">
        <f>$E$40+$C$75*$F$53</f>
        <v>100.59400000000001</v>
      </c>
      <c r="E75" s="3">
        <f>$G$40+$H$40*$F$10</f>
        <v>36.72</v>
      </c>
      <c r="F75" s="3">
        <f>$F$40-$I$40*$F$10</f>
        <v>-5.0999999999999996</v>
      </c>
      <c r="G75" s="5">
        <f>IF($D$75&gt;0,ABS($E$75)/$D$75,"N ≤ 0")</f>
        <v>0.36503171163290055</v>
      </c>
      <c r="H75" s="5">
        <f>IF($D$75&gt;0,ABS($F$75)/$D$75,"N ≤ 0")</f>
        <v>5.0698848837902849E-2</v>
      </c>
    </row>
    <row r="76" spans="2:8" x14ac:dyDescent="0.25">
      <c r="B76" s="7" t="s">
        <v>81</v>
      </c>
      <c r="C76" s="3">
        <v>1</v>
      </c>
      <c r="D76" s="10">
        <f>$E$41+$C$76*$F$53</f>
        <v>93.034000000000006</v>
      </c>
      <c r="E76" s="3">
        <f>$G$41+$H$41*$F$10</f>
        <v>11.016</v>
      </c>
      <c r="F76" s="3">
        <f>$F$41-$I$41*$F$10</f>
        <v>-5.0999999999999996</v>
      </c>
      <c r="G76" s="5">
        <f>IF($D$76&gt;0,ABS($E$76)/$D$76,"N ≤ 0")</f>
        <v>0.11840832383859663</v>
      </c>
      <c r="H76" s="5">
        <f>IF($D$76&gt;0,ABS($F$76)/$D$76,"N ≤ 0")</f>
        <v>5.4818668443794731E-2</v>
      </c>
    </row>
    <row r="77" spans="2:8" x14ac:dyDescent="0.25">
      <c r="B77" s="7" t="s">
        <v>82</v>
      </c>
      <c r="C77" s="3">
        <v>1</v>
      </c>
      <c r="D77" s="10">
        <f>$E$42+$C$77*$F$53</f>
        <v>93.034000000000006</v>
      </c>
      <c r="E77" s="3">
        <f>$G$42+$H$42*$F$10</f>
        <v>11.016</v>
      </c>
      <c r="F77" s="3">
        <f>$F$42-$I$42*$F$10</f>
        <v>-5.0999999999999996</v>
      </c>
      <c r="G77" s="5">
        <f>IF($D$77&gt;0,ABS($E$77)/$D$77,"N ≤ 0")</f>
        <v>0.11840832383859663</v>
      </c>
      <c r="H77" s="5">
        <f>IF($D$77&gt;0,ABS($F$77)/$D$77,"N ≤ 0")</f>
        <v>5.4818668443794731E-2</v>
      </c>
    </row>
    <row r="78" spans="2:8" x14ac:dyDescent="0.25">
      <c r="B78" s="7" t="s">
        <v>83</v>
      </c>
      <c r="C78" s="3">
        <v>1</v>
      </c>
      <c r="D78" s="10">
        <f>$E$43+$C$78*$F$53</f>
        <v>78.994</v>
      </c>
      <c r="E78" s="3">
        <f>$G$43+$H$43*$F$10</f>
        <v>-36.72</v>
      </c>
      <c r="F78" s="3">
        <f>$F$43-$I$43*$F$10</f>
        <v>-5.0999999999999996</v>
      </c>
      <c r="G78" s="5">
        <f>IF($D$78&gt;0,ABS($E$78)/$D$78,"N ≤ 0")</f>
        <v>0.46484543129857964</v>
      </c>
      <c r="H78" s="5">
        <f>IF($D$78&gt;0,ABS($F$78)/$D$78,"N ≤ 0")</f>
        <v>6.4561865458136053E-2</v>
      </c>
    </row>
    <row r="79" spans="2:8" x14ac:dyDescent="0.25">
      <c r="B79" s="7" t="s">
        <v>84</v>
      </c>
      <c r="C79" s="3">
        <v>1</v>
      </c>
      <c r="D79" s="10">
        <f>$E$44+$C$79*$F$53</f>
        <v>78.994</v>
      </c>
      <c r="E79" s="3">
        <f>$G$44+$H$44*$F$10</f>
        <v>-36.72</v>
      </c>
      <c r="F79" s="3">
        <f>$F$44-$I$44*$F$10</f>
        <v>-5.0999999999999996</v>
      </c>
      <c r="G79" s="5">
        <f>IF($D$79&gt;0,ABS($E$79)/$D$79,"N ≤ 0")</f>
        <v>0.46484543129857964</v>
      </c>
      <c r="H79" s="5">
        <f>IF($D$79&gt;0,ABS($F$79)/$D$79,"N ≤ 0")</f>
        <v>6.4561865458136053E-2</v>
      </c>
    </row>
    <row r="80" spans="2:8" x14ac:dyDescent="0.25">
      <c r="B80" s="7" t="s">
        <v>85</v>
      </c>
      <c r="C80" s="3">
        <v>1</v>
      </c>
      <c r="D80" s="10">
        <f>$E$45+$C$80*$F$53</f>
        <v>86.554000000000002</v>
      </c>
      <c r="E80" s="3">
        <f>$G$45+$H$45*$F$10</f>
        <v>-11.016</v>
      </c>
      <c r="F80" s="3">
        <f>$F$45-$I$45*$F$10</f>
        <v>-5.0999999999999996</v>
      </c>
      <c r="G80" s="5">
        <f>IF($D$80&gt;0,ABS($E$80)/$D$80,"N ≤ 0")</f>
        <v>0.12727314739931142</v>
      </c>
      <c r="H80" s="5">
        <f>IF($D$80&gt;0,ABS($F$80)/$D$80,"N ≤ 0")</f>
        <v>5.8922753425607127E-2</v>
      </c>
    </row>
    <row r="81" spans="2:11" x14ac:dyDescent="0.25">
      <c r="B81" s="7" t="s">
        <v>86</v>
      </c>
      <c r="C81" s="3">
        <v>1</v>
      </c>
      <c r="D81" s="10">
        <f>$E$46+$C$81*$F$53</f>
        <v>86.554000000000002</v>
      </c>
      <c r="E81" s="3">
        <f>$G$46+$H$46*$F$10</f>
        <v>-11.016</v>
      </c>
      <c r="F81" s="3">
        <f>$F$46-$I$46*$F$10</f>
        <v>-5.0999999999999996</v>
      </c>
      <c r="G81" s="5">
        <f>IF($D$81&gt;0,ABS($E$81)/$D$81,"N ≤ 0")</f>
        <v>0.12727314739931142</v>
      </c>
      <c r="H81" s="5">
        <f>IF($D$81&gt;0,ABS($F$81)/$D$81,"N ≤ 0")</f>
        <v>5.8922753425607127E-2</v>
      </c>
    </row>
    <row r="83" spans="2:11" ht="20.100000000000001" customHeight="1" x14ac:dyDescent="0.25">
      <c r="B83" s="28" t="s">
        <v>107</v>
      </c>
      <c r="C83" s="29"/>
      <c r="D83" s="29"/>
      <c r="E83" s="29"/>
      <c r="F83" s="29"/>
      <c r="G83" s="29"/>
      <c r="H83" s="29"/>
      <c r="I83" s="29"/>
      <c r="J83" s="29"/>
      <c r="K83" s="29"/>
    </row>
    <row r="84" spans="2:11" ht="15" customHeight="1" x14ac:dyDescent="0.25">
      <c r="B84" s="20" t="s">
        <v>108</v>
      </c>
      <c r="C84" s="21"/>
      <c r="D84" s="21"/>
      <c r="E84" s="21"/>
      <c r="F84" s="21"/>
      <c r="G84" s="21"/>
      <c r="H84" s="21"/>
      <c r="I84" s="21"/>
      <c r="J84" s="21"/>
      <c r="K84" s="21"/>
    </row>
    <row r="85" spans="2:11" ht="20.100000000000001" customHeight="1" x14ac:dyDescent="0.25">
      <c r="B85" s="2" t="s">
        <v>51</v>
      </c>
      <c r="C85" s="2" t="s">
        <v>109</v>
      </c>
      <c r="D85" s="2" t="s">
        <v>110</v>
      </c>
      <c r="E85" s="2" t="s">
        <v>111</v>
      </c>
      <c r="F85" s="2" t="s">
        <v>112</v>
      </c>
      <c r="G85" s="2" t="s">
        <v>113</v>
      </c>
      <c r="H85" s="2" t="s">
        <v>114</v>
      </c>
      <c r="I85" s="2" t="s">
        <v>115</v>
      </c>
      <c r="J85" s="2" t="s">
        <v>116</v>
      </c>
      <c r="K85" s="2" t="s">
        <v>40</v>
      </c>
    </row>
    <row r="86" spans="2:11" ht="15.75" x14ac:dyDescent="0.25">
      <c r="B86" s="7" t="s">
        <v>59</v>
      </c>
      <c r="C86" s="10">
        <f>$D$58</f>
        <v>129.9819</v>
      </c>
      <c r="D86" s="5">
        <f>$G$58</f>
        <v>0</v>
      </c>
      <c r="E86" s="12" t="str">
        <f>IF($D$58&lt;=0,"N ≤ 0 : soulèvement",IF($G$58&lt;=$C$15/6+0.000001,"e &lt; A/6 =&gt; Diagramme Trapézoïdal",IF($G$58&lt;$C$15/2,"e &gt; A/6 =&gt; Diagramme triangulaire","e ≥ A/2 : instable")))</f>
        <v>e &lt; A/6 =&gt; Diagramme Trapézoïdal</v>
      </c>
      <c r="F86" s="3">
        <f>IF($D$58&lt;=0,0,IF($G$58&lt;=$C$15/6+0.000001,$D$58/($C$15*$D$15)*(1+6*$G$58/$C$15),IF($G$58&lt;$C$15/2,2*$D$58/(3*$D$15*($C$15/2-$G$58)),1000000000)))/100</f>
        <v>0.76912366863905324</v>
      </c>
      <c r="G86" s="3">
        <f>IF($D$58&lt;=0,0,IF($G$58&lt;=$C$15/6+0.000001,$D$58/($C$15*$D$15)*(1-6*$G$58/$C$15),0))/100</f>
        <v>0.76912366863905324</v>
      </c>
      <c r="H86" s="10">
        <f>(3*$F$86+$G$86)/4</f>
        <v>0.76912366863905324</v>
      </c>
      <c r="I86" s="3">
        <f t="shared" ref="I86:I95" si="0">$C$8</f>
        <v>3</v>
      </c>
      <c r="J86" s="13">
        <f>$H$86/$I$86</f>
        <v>0.25637455621301775</v>
      </c>
      <c r="K86" s="9" t="str">
        <f>IF($H$86&lt;=$I$86+0.00001,"OK","NON OK")</f>
        <v>OK</v>
      </c>
    </row>
    <row r="87" spans="2:11" ht="15.75" x14ac:dyDescent="0.25">
      <c r="B87" s="7" t="s">
        <v>62</v>
      </c>
      <c r="C87" s="10">
        <f>$D$59</f>
        <v>117.98190000000001</v>
      </c>
      <c r="D87" s="5">
        <f>$G$59</f>
        <v>0</v>
      </c>
      <c r="E87" s="12" t="str">
        <f>IF($D$59&lt;=0,"N ≤ 0 : soulèvement",IF($G$59&lt;=$C$15/6+0.000001,"e &lt; A/6 =&gt; Diagramme Trapézoïdal",IF($G$59&lt;$C$15/2,"e &gt; A/6 =&gt; Diagramme triangulaire","e ≥ A/2 : instable")))</f>
        <v>e &lt; A/6 =&gt; Diagramme Trapézoïdal</v>
      </c>
      <c r="F87" s="3">
        <f>IF($D$59&lt;=0,0,IF($G$59&lt;=$C$15/6+0.000001,$D$59/($C$15*$D$15)*(1+6*$G$59/$C$15),IF($G$59&lt;$C$15/2,2*$D$59/(3*$D$15*($C$15/2-$G$59)),1000000000)))/100</f>
        <v>0.69811775147929001</v>
      </c>
      <c r="G87" s="3">
        <f>IF($D$59&lt;=0,0,IF($G$59&lt;=$C$15/6+0.000001,$D$59/($C$15*$D$15)*(1-6*$G$59/$C$15),0))/100</f>
        <v>0.69811775147929001</v>
      </c>
      <c r="H87" s="10">
        <f>(3*$F$87+$G$87)/4</f>
        <v>0.69811775147929001</v>
      </c>
      <c r="I87" s="3">
        <f t="shared" si="0"/>
        <v>3</v>
      </c>
      <c r="J87" s="13">
        <f>$H$87/$I$87</f>
        <v>0.23270591715976333</v>
      </c>
      <c r="K87" s="9" t="str">
        <f>IF($H$87&lt;=$I$87+0.00001,"OK","NON OK")</f>
        <v>OK</v>
      </c>
    </row>
    <row r="88" spans="2:11" ht="15.75" x14ac:dyDescent="0.25">
      <c r="B88" s="7" t="s">
        <v>63</v>
      </c>
      <c r="C88" s="10">
        <f>$D$60</f>
        <v>72.98190000000001</v>
      </c>
      <c r="D88" s="5">
        <f>$G$60</f>
        <v>0</v>
      </c>
      <c r="E88" s="12" t="str">
        <f>IF($D$60&lt;=0,"N ≤ 0 : soulèvement",IF($G$60&lt;=$C$15/6+0.000001,"e &lt; A/6 =&gt; Diagramme Trapézoïdal",IF($G$60&lt;$C$15/2,"e &gt; A/6 =&gt; Diagramme triangulaire","e ≥ A/2 : instable")))</f>
        <v>e &lt; A/6 =&gt; Diagramme Trapézoïdal</v>
      </c>
      <c r="F88" s="3">
        <f>IF($D$60&lt;=0,0,IF($G$60&lt;=$C$15/6+0.000001,$D$60/($C$15*$D$15)*(1+6*$G$60/$C$15),IF($G$60&lt;$C$15/2,2*$D$60/(3*$D$15*($C$15/2-$G$60)),1000000000)))/100</f>
        <v>0.4318455621301775</v>
      </c>
      <c r="G88" s="3">
        <f>IF($D$60&lt;=0,0,IF($G$60&lt;=$C$15/6+0.000001,$D$60/($C$15*$D$15)*(1-6*$G$60/$C$15),0))/100</f>
        <v>0.4318455621301775</v>
      </c>
      <c r="H88" s="10">
        <f>(3*$F$88+$G$88)/4</f>
        <v>0.4318455621301775</v>
      </c>
      <c r="I88" s="3">
        <f t="shared" si="0"/>
        <v>3</v>
      </c>
      <c r="J88" s="13">
        <f>$H$88/$I$88</f>
        <v>0.14394852071005917</v>
      </c>
      <c r="K88" s="9" t="str">
        <f>IF($H$88&lt;=$I$88+0.00001,"OK","NON OK")</f>
        <v>OK</v>
      </c>
    </row>
    <row r="89" spans="2:11" ht="15.75" x14ac:dyDescent="0.25">
      <c r="B89" s="7" t="s">
        <v>64</v>
      </c>
      <c r="C89" s="10">
        <f>$D$61</f>
        <v>117.98190000000001</v>
      </c>
      <c r="D89" s="5">
        <f>$G$61</f>
        <v>0</v>
      </c>
      <c r="E89" s="12" t="str">
        <f>IF($D$61&lt;=0,"N ≤ 0 : soulèvement",IF($G$61&lt;=$C$15/6+0.000001,"e &lt; A/6 =&gt; Diagramme Trapézoïdal",IF($G$61&lt;$C$15/2,"e &gt; A/6 =&gt; Diagramme triangulaire","e ≥ A/2 : instable")))</f>
        <v>e &lt; A/6 =&gt; Diagramme Trapézoïdal</v>
      </c>
      <c r="F89" s="3">
        <f>IF($D$61&lt;=0,0,IF($G$61&lt;=$C$15/6+0.000001,$D$61/($C$15*$D$15)*(1+6*$G$61/$C$15),IF($G$61&lt;$C$15/2,2*$D$61/(3*$D$15*($C$15/2-$G$61)),1000000000)))/100</f>
        <v>0.69811775147929001</v>
      </c>
      <c r="G89" s="3">
        <f>IF($D$61&lt;=0,0,IF($G$61&lt;=$C$15/6+0.000001,$D$61/($C$15*$D$15)*(1-6*$G$61/$C$15),0))/100</f>
        <v>0.69811775147929001</v>
      </c>
      <c r="H89" s="10">
        <f>(3*$F$89+$G$89)/4</f>
        <v>0.69811775147929001</v>
      </c>
      <c r="I89" s="3">
        <f t="shared" si="0"/>
        <v>3</v>
      </c>
      <c r="J89" s="13">
        <f>$H$89/$I$89</f>
        <v>0.23270591715976333</v>
      </c>
      <c r="K89" s="9" t="str">
        <f>IF($H$89&lt;=$I$89+0.00001,"OK","NON OK")</f>
        <v>OK</v>
      </c>
    </row>
    <row r="90" spans="2:11" ht="15.75" x14ac:dyDescent="0.25">
      <c r="B90" s="7" t="s">
        <v>65</v>
      </c>
      <c r="C90" s="10">
        <f>$D$62</f>
        <v>42.394000000000005</v>
      </c>
      <c r="D90" s="5">
        <f>$G$62</f>
        <v>0</v>
      </c>
      <c r="E90" s="12" t="str">
        <f>IF($D$62&lt;=0,"N ≤ 0 : soulèvement",IF($G$62&lt;=$C$15/6+0.000001,"e &lt; A/6 =&gt; Diagramme Trapézoïdal",IF($G$62&lt;$C$15/2,"e &gt; A/6 =&gt; Diagramme triangulaire","e ≥ A/2 : instable")))</f>
        <v>e &lt; A/6 =&gt; Diagramme Trapézoïdal</v>
      </c>
      <c r="F90" s="3">
        <f>IF($D$62&lt;=0,0,IF($G$62&lt;=$C$15/6+0.000001,$D$62/($C$15*$D$15)*(1+6*$G$62/$C$15),IF($G$62&lt;$C$15/2,2*$D$62/(3*$D$15*($C$15/2-$G$62)),1000000000)))/100</f>
        <v>0.25085207100591717</v>
      </c>
      <c r="G90" s="3">
        <f>IF($D$62&lt;=0,0,IF($G$62&lt;=$C$15/6+0.000001,$D$62/($C$15*$D$15)*(1-6*$G$62/$C$15),0))/100</f>
        <v>0.25085207100591717</v>
      </c>
      <c r="H90" s="10">
        <f>(3*$F$90+$G$90)/4</f>
        <v>0.25085207100591717</v>
      </c>
      <c r="I90" s="3">
        <f t="shared" si="0"/>
        <v>3</v>
      </c>
      <c r="J90" s="13">
        <f>$H$90/$I$90</f>
        <v>8.3617357001972384E-2</v>
      </c>
      <c r="K90" s="9" t="str">
        <f>IF($H$90&lt;=$I$90+0.00001,"OK","NON OK")</f>
        <v>OK</v>
      </c>
    </row>
    <row r="91" spans="2:11" ht="15.75" x14ac:dyDescent="0.25">
      <c r="B91" s="7" t="s">
        <v>66</v>
      </c>
      <c r="C91" s="10">
        <f>$D$63</f>
        <v>87.394000000000005</v>
      </c>
      <c r="D91" s="5">
        <f>$G$63</f>
        <v>0</v>
      </c>
      <c r="E91" s="12" t="str">
        <f>IF($D$63&lt;=0,"N ≤ 0 : soulèvement",IF($G$63&lt;=$C$15/6+0.000001,"e &lt; A/6 =&gt; Diagramme Trapézoïdal",IF($G$63&lt;$C$15/2,"e &gt; A/6 =&gt; Diagramme triangulaire","e ≥ A/2 : instable")))</f>
        <v>e &lt; A/6 =&gt; Diagramme Trapézoïdal</v>
      </c>
      <c r="F91" s="3">
        <f>IF($D$63&lt;=0,0,IF($G$63&lt;=$C$15/6+0.000001,$D$63/($C$15*$D$15)*(1+6*$G$63/$C$15),IF($G$63&lt;$C$15/2,2*$D$63/(3*$D$15*($C$15/2-$G$63)),1000000000)))/100</f>
        <v>0.51712426035502956</v>
      </c>
      <c r="G91" s="3">
        <f>IF($D$63&lt;=0,0,IF($G$63&lt;=$C$15/6+0.000001,$D$63/($C$15*$D$15)*(1-6*$G$63/$C$15),0))/100</f>
        <v>0.51712426035502956</v>
      </c>
      <c r="H91" s="10">
        <f>(3*$F$91+$G$91)/4</f>
        <v>0.51712426035502956</v>
      </c>
      <c r="I91" s="3">
        <f t="shared" si="0"/>
        <v>3</v>
      </c>
      <c r="J91" s="13">
        <f>$H$91/$I$91</f>
        <v>0.17237475345167652</v>
      </c>
      <c r="K91" s="9" t="str">
        <f>IF($H$91&lt;=$I$91+0.00001,"OK","NON OK")</f>
        <v>OK</v>
      </c>
    </row>
    <row r="92" spans="2:11" ht="15.75" x14ac:dyDescent="0.25">
      <c r="B92" s="7" t="s">
        <v>67</v>
      </c>
      <c r="C92" s="10">
        <f>$D$64</f>
        <v>88.281900000000007</v>
      </c>
      <c r="D92" s="5">
        <f>$G$64</f>
        <v>0</v>
      </c>
      <c r="E92" s="12" t="str">
        <f>IF($D$64&lt;=0,"N ≤ 0 : soulèvement",IF($G$64&lt;=$C$15/6+0.000001,"e &lt; A/6 =&gt; Diagramme Trapézoïdal",IF($G$64&lt;$C$15/2,"e &gt; A/6 =&gt; Diagramme triangulaire","e ≥ A/2 : instable")))</f>
        <v>e &lt; A/6 =&gt; Diagramme Trapézoïdal</v>
      </c>
      <c r="F92" s="3">
        <f>IF($D$64&lt;=0,0,IF($G$64&lt;=$C$15/6+0.000001,$D$64/($C$15*$D$15)*(1+6*$G$64/$C$15),IF($G$64&lt;$C$15/2,2*$D$64/(3*$D$15*($C$15/2-$G$64)),1000000000)))/100</f>
        <v>0.52237810650887573</v>
      </c>
      <c r="G92" s="3">
        <f>IF($D$64&lt;=0,0,IF($G$64&lt;=$C$15/6+0.000001,$D$64/($C$15*$D$15)*(1-6*$G$64/$C$15),0))/100</f>
        <v>0.52237810650887573</v>
      </c>
      <c r="H92" s="10">
        <f>(3*$F$92+$G$92)/4</f>
        <v>0.52237810650887573</v>
      </c>
      <c r="I92" s="3">
        <f t="shared" si="0"/>
        <v>3</v>
      </c>
      <c r="J92" s="13">
        <f>$H$92/$I$92</f>
        <v>0.17412603550295858</v>
      </c>
      <c r="K92" s="9" t="str">
        <f>IF($H$92&lt;=$I$92+0.00001,"OK","NON OK")</f>
        <v>OK</v>
      </c>
    </row>
    <row r="93" spans="2:11" ht="15.75" x14ac:dyDescent="0.25">
      <c r="B93" s="7" t="s">
        <v>68</v>
      </c>
      <c r="C93" s="10">
        <f>$D$65</f>
        <v>128.78190000000001</v>
      </c>
      <c r="D93" s="5">
        <f>$G$65</f>
        <v>0</v>
      </c>
      <c r="E93" s="12" t="str">
        <f>IF($D$65&lt;=0,"N ≤ 0 : soulèvement",IF($G$65&lt;=$C$15/6+0.000001,"e &lt; A/6 =&gt; Diagramme Trapézoïdal",IF($G$65&lt;$C$15/2,"e &gt; A/6 =&gt; Diagramme triangulaire","e ≥ A/2 : instable")))</f>
        <v>e &lt; A/6 =&gt; Diagramme Trapézoïdal</v>
      </c>
      <c r="F93" s="3">
        <f>IF($D$65&lt;=0,0,IF($G$65&lt;=$C$15/6+0.000001,$D$65/($C$15*$D$15)*(1+6*$G$65/$C$15),IF($G$65&lt;$C$15/2,2*$D$65/(3*$D$15*($C$15/2-$G$65)),1000000000)))/100</f>
        <v>0.7620230769230768</v>
      </c>
      <c r="G93" s="3">
        <f>IF($D$65&lt;=0,0,IF($G$65&lt;=$C$15/6+0.000001,$D$65/($C$15*$D$15)*(1-6*$G$65/$C$15),0))/100</f>
        <v>0.7620230769230768</v>
      </c>
      <c r="H93" s="10">
        <f>(3*$F$93+$G$93)/4</f>
        <v>0.7620230769230768</v>
      </c>
      <c r="I93" s="3">
        <f t="shared" si="0"/>
        <v>3</v>
      </c>
      <c r="J93" s="13">
        <f>$H$93/$I$93</f>
        <v>0.25400769230769227</v>
      </c>
      <c r="K93" s="9" t="str">
        <f>IF($H$93&lt;=$I$93+0.00001,"OK","NON OK")</f>
        <v>OK</v>
      </c>
    </row>
    <row r="94" spans="2:11" ht="15.75" x14ac:dyDescent="0.25">
      <c r="B94" s="7" t="s">
        <v>69</v>
      </c>
      <c r="C94" s="10">
        <f>$D$66</f>
        <v>77.48190000000001</v>
      </c>
      <c r="D94" s="5">
        <f>$G$66</f>
        <v>0</v>
      </c>
      <c r="E94" s="12" t="str">
        <f>IF($D$66&lt;=0,"N ≤ 0 : soulèvement",IF($G$66&lt;=$C$15/6+0.000001,"e &lt; A/6 =&gt; Diagramme Trapézoïdal",IF($G$66&lt;$C$15/2,"e &gt; A/6 =&gt; Diagramme triangulaire","e ≥ A/2 : instable")))</f>
        <v>e &lt; A/6 =&gt; Diagramme Trapézoïdal</v>
      </c>
      <c r="F94" s="3">
        <f>IF($D$66&lt;=0,0,IF($G$66&lt;=$C$15/6+0.000001,$D$66/($C$15*$D$15)*(1+6*$G$66/$C$15),IF($G$66&lt;$C$15/2,2*$D$66/(3*$D$15*($C$15/2-$G$66)),1000000000)))/100</f>
        <v>0.45847278106508876</v>
      </c>
      <c r="G94" s="3">
        <f>IF($D$66&lt;=0,0,IF($G$66&lt;=$C$15/6+0.000001,$D$66/($C$15*$D$15)*(1-6*$G$66/$C$15),0))/100</f>
        <v>0.45847278106508876</v>
      </c>
      <c r="H94" s="10">
        <f>(3*$F$94+$G$94)/4</f>
        <v>0.45847278106508876</v>
      </c>
      <c r="I94" s="3">
        <f t="shared" si="0"/>
        <v>3</v>
      </c>
      <c r="J94" s="13">
        <f>$H$94/$I$94</f>
        <v>0.15282426035502958</v>
      </c>
      <c r="K94" s="9" t="str">
        <f>IF($H$94&lt;=$I$94+0.00001,"OK","NON OK")</f>
        <v>OK</v>
      </c>
    </row>
    <row r="95" spans="2:11" ht="15.75" x14ac:dyDescent="0.25">
      <c r="B95" s="7" t="s">
        <v>70</v>
      </c>
      <c r="C95" s="10">
        <f>$D$67</f>
        <v>117.98190000000001</v>
      </c>
      <c r="D95" s="5">
        <f>$G$67</f>
        <v>0</v>
      </c>
      <c r="E95" s="12" t="str">
        <f>IF($D$67&lt;=0,"N ≤ 0 : soulèvement",IF($G$67&lt;=$C$15/6+0.000001,"e &lt; A/6 =&gt; Diagramme Trapézoïdal",IF($G$67&lt;$C$15/2,"e &gt; A/6 =&gt; Diagramme triangulaire","e ≥ A/2 : instable")))</f>
        <v>e &lt; A/6 =&gt; Diagramme Trapézoïdal</v>
      </c>
      <c r="F95" s="3">
        <f>IF($D$67&lt;=0,0,IF($G$67&lt;=$C$15/6+0.000001,$D$67/($C$15*$D$15)*(1+6*$G$67/$C$15),IF($G$67&lt;$C$15/2,2*$D$67/(3*$D$15*($C$15/2-$G$67)),1000000000)))/100</f>
        <v>0.69811775147929001</v>
      </c>
      <c r="G95" s="3">
        <f>IF($D$67&lt;=0,0,IF($G$67&lt;=$C$15/6+0.000001,$D$67/($C$15*$D$15)*(1-6*$G$67/$C$15),0))/100</f>
        <v>0.69811775147929001</v>
      </c>
      <c r="H95" s="10">
        <f>(3*$F$95+$G$95)/4</f>
        <v>0.69811775147929001</v>
      </c>
      <c r="I95" s="3">
        <f t="shared" si="0"/>
        <v>3</v>
      </c>
      <c r="J95" s="13">
        <f>$H$95/$I$95</f>
        <v>0.23270591715976333</v>
      </c>
      <c r="K95" s="9" t="str">
        <f>IF($H$95&lt;=$I$95+0.00001,"OK","NON OK")</f>
        <v>OK</v>
      </c>
    </row>
    <row r="96" spans="2:11" ht="15.75" x14ac:dyDescent="0.25">
      <c r="B96" s="7" t="s">
        <v>71</v>
      </c>
      <c r="C96" s="10">
        <f>$D$68</f>
        <v>95.394000000000005</v>
      </c>
      <c r="D96" s="5">
        <f>$G$68</f>
        <v>0</v>
      </c>
      <c r="E96" s="12" t="str">
        <f>IF($D$68&lt;=0,"N ≤ 0 : soulèvement",IF($G$68&lt;=$C$15/6+0.000001,"e &lt; A/6 =&gt; Diagramme Trapézoïdal",IF($G$68&lt;$C$15/2,"e &gt; A/6 =&gt; Diagramme triangulaire","e ≥ A/2 : instable")))</f>
        <v>e &lt; A/6 =&gt; Diagramme Trapézoïdal</v>
      </c>
      <c r="F96" s="3">
        <f>IF($D$68&lt;=0,0,IF($G$68&lt;=$C$15/6+0.000001,$D$68/($C$15*$D$15)*(1+6*$G$68/$C$15),IF($G$68&lt;$C$15/2,2*$D$68/(3*$D$15*($C$15/2-$G$68)),1000000000)))/100</f>
        <v>0.56446153846153846</v>
      </c>
      <c r="G96" s="3">
        <f>IF($D$68&lt;=0,0,IF($G$68&lt;=$C$15/6+0.000001,$D$68/($C$15*$D$15)*(1-6*$G$68/$C$15),0))/100</f>
        <v>0.56446153846153846</v>
      </c>
      <c r="H96" s="10">
        <f>(3*$F$96+$G$96)/4</f>
        <v>0.56446153846153846</v>
      </c>
      <c r="I96" s="3">
        <f t="shared" ref="I96:I101" si="1">$B$8</f>
        <v>2</v>
      </c>
      <c r="J96" s="13">
        <f>$H$96/$I$96</f>
        <v>0.28223076923076923</v>
      </c>
      <c r="K96" s="9" t="str">
        <f>IF($H$96&lt;=$I$96+0.00001,"OK","NON OK")</f>
        <v>OK</v>
      </c>
    </row>
    <row r="97" spans="2:11" ht="15.75" x14ac:dyDescent="0.25">
      <c r="B97" s="7" t="s">
        <v>73</v>
      </c>
      <c r="C97" s="10">
        <f>$D$69</f>
        <v>87.394000000000005</v>
      </c>
      <c r="D97" s="5">
        <f>$G$69</f>
        <v>0</v>
      </c>
      <c r="E97" s="12" t="str">
        <f>IF($D$69&lt;=0,"N ≤ 0 : soulèvement",IF($G$69&lt;=$C$15/6+0.000001,"e &lt; A/6 =&gt; Diagramme Trapézoïdal",IF($G$69&lt;$C$15/2,"e &gt; A/6 =&gt; Diagramme triangulaire","e ≥ A/2 : instable")))</f>
        <v>e &lt; A/6 =&gt; Diagramme Trapézoïdal</v>
      </c>
      <c r="F97" s="3">
        <f>IF($D$69&lt;=0,0,IF($G$69&lt;=$C$15/6+0.000001,$D$69/($C$15*$D$15)*(1+6*$G$69/$C$15),IF($G$69&lt;$C$15/2,2*$D$69/(3*$D$15*($C$15/2-$G$69)),1000000000)))/100</f>
        <v>0.51712426035502956</v>
      </c>
      <c r="G97" s="3">
        <f>IF($D$69&lt;=0,0,IF($G$69&lt;=$C$15/6+0.000001,$D$69/($C$15*$D$15)*(1-6*$G$69/$C$15),0))/100</f>
        <v>0.51712426035502956</v>
      </c>
      <c r="H97" s="10">
        <f>(3*$F$97+$G$97)/4</f>
        <v>0.51712426035502956</v>
      </c>
      <c r="I97" s="3">
        <f t="shared" si="1"/>
        <v>2</v>
      </c>
      <c r="J97" s="13">
        <f>$H$97/$I$97</f>
        <v>0.25856213017751478</v>
      </c>
      <c r="K97" s="9" t="str">
        <f>IF($H$97&lt;=$I$97+0.00001,"OK","NON OK")</f>
        <v>OK</v>
      </c>
    </row>
    <row r="98" spans="2:11" ht="15.75" x14ac:dyDescent="0.25">
      <c r="B98" s="7" t="s">
        <v>74</v>
      </c>
      <c r="C98" s="10">
        <f>$D$70</f>
        <v>57.394000000000005</v>
      </c>
      <c r="D98" s="5">
        <f>$G$70</f>
        <v>0</v>
      </c>
      <c r="E98" s="12" t="str">
        <f>IF($D$70&lt;=0,"N ≤ 0 : soulèvement",IF($G$70&lt;=$C$15/6+0.000001,"e &lt; A/6 =&gt; Diagramme Trapézoïdal",IF($G$70&lt;$C$15/2,"e &gt; A/6 =&gt; Diagramme triangulaire","e ≥ A/2 : instable")))</f>
        <v>e &lt; A/6 =&gt; Diagramme Trapézoïdal</v>
      </c>
      <c r="F98" s="3">
        <f>IF($D$70&lt;=0,0,IF($G$70&lt;=$C$15/6+0.000001,$D$70/($C$15*$D$15)*(1+6*$G$70/$C$15),IF($G$70&lt;$C$15/2,2*$D$70/(3*$D$15*($C$15/2-$G$70)),1000000000)))/100</f>
        <v>0.33960946745562132</v>
      </c>
      <c r="G98" s="3">
        <f>IF($D$70&lt;=0,0,IF($G$70&lt;=$C$15/6+0.000001,$D$70/($C$15*$D$15)*(1-6*$G$70/$C$15),0))/100</f>
        <v>0.33960946745562132</v>
      </c>
      <c r="H98" s="10">
        <f>(3*$F$98+$G$98)/4</f>
        <v>0.33960946745562132</v>
      </c>
      <c r="I98" s="3">
        <f t="shared" si="1"/>
        <v>2</v>
      </c>
      <c r="J98" s="13">
        <f>$H$98/$I$98</f>
        <v>0.16980473372781066</v>
      </c>
      <c r="K98" s="9" t="str">
        <f>IF($H$98&lt;=$I$98+0.00001,"OK","NON OK")</f>
        <v>OK</v>
      </c>
    </row>
    <row r="99" spans="2:11" ht="15.75" x14ac:dyDescent="0.25">
      <c r="B99" s="7" t="s">
        <v>75</v>
      </c>
      <c r="C99" s="10">
        <f>$D$71</f>
        <v>87.394000000000005</v>
      </c>
      <c r="D99" s="5">
        <f>$G$71</f>
        <v>0</v>
      </c>
      <c r="E99" s="12" t="str">
        <f>IF($D$71&lt;=0,"N ≤ 0 : soulèvement",IF($G$71&lt;=$C$15/6+0.000001,"e &lt; A/6 =&gt; Diagramme Trapézoïdal",IF($G$71&lt;$C$15/2,"e &gt; A/6 =&gt; Diagramme triangulaire","e ≥ A/2 : instable")))</f>
        <v>e &lt; A/6 =&gt; Diagramme Trapézoïdal</v>
      </c>
      <c r="F99" s="3">
        <f>IF($D$71&lt;=0,0,IF($G$71&lt;=$C$15/6+0.000001,$D$71/($C$15*$D$15)*(1+6*$G$71/$C$15),IF($G$71&lt;$C$15/2,2*$D$71/(3*$D$15*($C$15/2-$G$71)),1000000000)))/100</f>
        <v>0.51712426035502956</v>
      </c>
      <c r="G99" s="3">
        <f>IF($D$71&lt;=0,0,IF($G$71&lt;=$C$15/6+0.000001,$D$71/($C$15*$D$15)*(1-6*$G$71/$C$15),0))/100</f>
        <v>0.51712426035502956</v>
      </c>
      <c r="H99" s="10">
        <f>(3*$F$99+$G$99)/4</f>
        <v>0.51712426035502956</v>
      </c>
      <c r="I99" s="3">
        <f t="shared" si="1"/>
        <v>2</v>
      </c>
      <c r="J99" s="13">
        <f>$H$99/$I$99</f>
        <v>0.25856213017751478</v>
      </c>
      <c r="K99" s="9" t="str">
        <f>IF($H$99&lt;=$I$99+0.00001,"OK","NON OK")</f>
        <v>OK</v>
      </c>
    </row>
    <row r="100" spans="2:11" ht="15.75" x14ac:dyDescent="0.25">
      <c r="B100" s="7" t="s">
        <v>76</v>
      </c>
      <c r="C100" s="10">
        <f>$D$72</f>
        <v>67.594000000000008</v>
      </c>
      <c r="D100" s="5">
        <f>$G$72</f>
        <v>0</v>
      </c>
      <c r="E100" s="12" t="str">
        <f>IF($D$72&lt;=0,"N ≤ 0 : soulèvement",IF($G$72&lt;=$C$15/6+0.000001,"e &lt; A/6 =&gt; Diagramme Trapézoïdal",IF($G$72&lt;$C$15/2,"e &gt; A/6 =&gt; Diagramme triangulaire","e ≥ A/2 : instable")))</f>
        <v>e &lt; A/6 =&gt; Diagramme Trapézoïdal</v>
      </c>
      <c r="F100" s="3">
        <f>IF($D$72&lt;=0,0,IF($G$72&lt;=$C$15/6+0.000001,$D$72/($C$15*$D$15)*(1+6*$G$72/$C$15),IF($G$72&lt;$C$15/2,2*$D$72/(3*$D$15*($C$15/2-$G$72)),1000000000)))/100</f>
        <v>0.39996449704142018</v>
      </c>
      <c r="G100" s="3">
        <f>IF($D$72&lt;=0,0,IF($G$72&lt;=$C$15/6+0.000001,$D$72/($C$15*$D$15)*(1-6*$G$72/$C$15),0))/100</f>
        <v>0.39996449704142018</v>
      </c>
      <c r="H100" s="10">
        <f>(3*$F$100+$G$100)/4</f>
        <v>0.39996449704142018</v>
      </c>
      <c r="I100" s="3">
        <f t="shared" si="1"/>
        <v>2</v>
      </c>
      <c r="J100" s="13">
        <f>$H$100/$I$100</f>
        <v>0.19998224852071009</v>
      </c>
      <c r="K100" s="9" t="str">
        <f>IF($H$100&lt;=$I$100+0.00001,"OK","NON OK")</f>
        <v>OK</v>
      </c>
    </row>
    <row r="101" spans="2:11" ht="15.75" x14ac:dyDescent="0.25">
      <c r="B101" s="7" t="s">
        <v>77</v>
      </c>
      <c r="C101" s="10">
        <f>$D$73</f>
        <v>94.594000000000008</v>
      </c>
      <c r="D101" s="5">
        <f>$G$73</f>
        <v>0</v>
      </c>
      <c r="E101" s="12" t="str">
        <f>IF($D$73&lt;=0,"N ≤ 0 : soulèvement",IF($G$73&lt;=$C$15/6+0.000001,"e &lt; A/6 =&gt; Diagramme Trapézoïdal",IF($G$73&lt;$C$15/2,"e &gt; A/6 =&gt; Diagramme triangulaire","e ≥ A/2 : instable")))</f>
        <v>e &lt; A/6 =&gt; Diagramme Trapézoïdal</v>
      </c>
      <c r="F101" s="3">
        <f>IF($D$73&lt;=0,0,IF($G$73&lt;=$C$15/6+0.000001,$D$73/($C$15*$D$15)*(1+6*$G$73/$C$15),IF($G$73&lt;$C$15/2,2*$D$73/(3*$D$15*($C$15/2-$G$73)),1000000000)))/100</f>
        <v>0.5597278106508875</v>
      </c>
      <c r="G101" s="3">
        <f>IF($D$73&lt;=0,0,IF($G$73&lt;=$C$15/6+0.000001,$D$73/($C$15*$D$15)*(1-6*$G$73/$C$15),0))/100</f>
        <v>0.5597278106508875</v>
      </c>
      <c r="H101" s="10">
        <f>(3*$F$101+$G$101)/4</f>
        <v>0.5597278106508875</v>
      </c>
      <c r="I101" s="3">
        <f t="shared" si="1"/>
        <v>2</v>
      </c>
      <c r="J101" s="13">
        <f>$H$101/$I$101</f>
        <v>0.27986390532544375</v>
      </c>
      <c r="K101" s="9" t="str">
        <f>IF($H$101&lt;=$I$101+0.00001,"OK","NON OK")</f>
        <v>OK</v>
      </c>
    </row>
    <row r="102" spans="2:11" ht="15.75" x14ac:dyDescent="0.25">
      <c r="B102" s="7" t="s">
        <v>78</v>
      </c>
      <c r="C102" s="10">
        <f>$D$74</f>
        <v>100.59400000000001</v>
      </c>
      <c r="D102" s="5">
        <f>$G$74</f>
        <v>0.36503171163290055</v>
      </c>
      <c r="E102" s="12" t="str">
        <f>IF($D$74&lt;=0,"N ≤ 0 : soulèvement",IF($G$74&lt;=$C$15/6+0.000001,"e &lt; A/6 =&gt; Diagramme Trapézoïdal",IF($G$74&lt;$C$15/2,"e &gt; A/6 =&gt; Diagramme triangulaire","e ≥ A/2 : instable")))</f>
        <v>e &gt; A/6 =&gt; Diagramme triangulaire</v>
      </c>
      <c r="F102" s="3">
        <f>IF($D$74&lt;=0,0,IF($G$74&lt;=$C$15/6+0.000001,$D$74/($C$15*$D$15)*(1+6*$G$74/$C$15),IF($G$74&lt;$C$15/2,2*$D$74/(3*$D$15*($C$15/2-$G$74)),1000000000)))/100</f>
        <v>1.8102599051376591</v>
      </c>
      <c r="G102" s="3">
        <f>IF($D$74&lt;=0,0,IF($G$74&lt;=$C$15/6+0.000001,$D$74/($C$15*$D$15)*(1-6*$G$74/$C$15),0))/100</f>
        <v>0</v>
      </c>
      <c r="H102" s="10">
        <f>(3*$F$102+$G$102)/4</f>
        <v>1.3576949288532443</v>
      </c>
      <c r="I102" s="3">
        <f t="shared" ref="I102:I109" si="2">$D$8</f>
        <v>3</v>
      </c>
      <c r="J102" s="13">
        <f>$H$102/$I$102</f>
        <v>0.45256497628441478</v>
      </c>
      <c r="K102" s="9" t="str">
        <f>IF($H$102&lt;=$I$102+0.00001,"OK","NON OK")</f>
        <v>OK</v>
      </c>
    </row>
    <row r="103" spans="2:11" ht="15.75" x14ac:dyDescent="0.25">
      <c r="B103" s="7" t="s">
        <v>80</v>
      </c>
      <c r="C103" s="10">
        <f>$D$75</f>
        <v>100.59400000000001</v>
      </c>
      <c r="D103" s="5">
        <f>$G$75</f>
        <v>0.36503171163290055</v>
      </c>
      <c r="E103" s="12" t="str">
        <f>IF($D$75&lt;=0,"N ≤ 0 : soulèvement",IF($G$75&lt;=$C$15/6+0.000001,"e &lt; A/6 =&gt; Diagramme Trapézoïdal",IF($G$75&lt;$C$15/2,"e &gt; A/6 =&gt; Diagramme triangulaire","e ≥ A/2 : instable")))</f>
        <v>e &gt; A/6 =&gt; Diagramme triangulaire</v>
      </c>
      <c r="F103" s="3">
        <f>IF($D$75&lt;=0,0,IF($G$75&lt;=$C$15/6+0.000001,$D$75/($C$15*$D$15)*(1+6*$G$75/$C$15),IF($G$75&lt;$C$15/2,2*$D$75/(3*$D$15*($C$15/2-$G$75)),1000000000)))/100</f>
        <v>1.8102599051376591</v>
      </c>
      <c r="G103" s="3">
        <f>IF($D$75&lt;=0,0,IF($G$75&lt;=$C$15/6+0.000001,$D$75/($C$15*$D$15)*(1-6*$G$75/$C$15),0))/100</f>
        <v>0</v>
      </c>
      <c r="H103" s="10">
        <f>(3*$F$103+$G$103)/4</f>
        <v>1.3576949288532443</v>
      </c>
      <c r="I103" s="3">
        <f t="shared" si="2"/>
        <v>3</v>
      </c>
      <c r="J103" s="13">
        <f>$H$103/$I$103</f>
        <v>0.45256497628441478</v>
      </c>
      <c r="K103" s="9" t="str">
        <f>IF($H$103&lt;=$I$103+0.00001,"OK","NON OK")</f>
        <v>OK</v>
      </c>
    </row>
    <row r="104" spans="2:11" ht="15.75" x14ac:dyDescent="0.25">
      <c r="B104" s="7" t="s">
        <v>81</v>
      </c>
      <c r="C104" s="10">
        <f>$D$76</f>
        <v>93.034000000000006</v>
      </c>
      <c r="D104" s="5">
        <f>$G$76</f>
        <v>0.11840832383859663</v>
      </c>
      <c r="E104" s="12" t="str">
        <f>IF($D$76&lt;=0,"N ≤ 0 : soulèvement",IF($G$76&lt;=$C$15/6+0.000001,"e &lt; A/6 =&gt; Diagramme Trapézoïdal",IF($G$76&lt;$C$15/2,"e &gt; A/6 =&gt; Diagramme triangulaire","e ≥ A/2 : instable")))</f>
        <v>e &lt; A/6 =&gt; Diagramme Trapézoïdal</v>
      </c>
      <c r="F104" s="3">
        <f>IF($D$76&lt;=0,0,IF($G$76&lt;=$C$15/6+0.000001,$D$76/($C$15*$D$15)*(1+6*$G$76/$C$15),IF($G$76&lt;$C$15/2,2*$D$76/(3*$D$15*($C$15/2-$G$76)),1000000000)))/100</f>
        <v>0.85134365043240778</v>
      </c>
      <c r="G104" s="3">
        <f>IF($D$76&lt;=0,0,IF($G$76&lt;=$C$15/6+0.000001,$D$76/($C$15*$D$15)*(1-6*$G$76/$C$15),0))/100</f>
        <v>0.24965043240782891</v>
      </c>
      <c r="H104" s="10">
        <f>(3*$F$104+$G$104)/4</f>
        <v>0.70092034592626307</v>
      </c>
      <c r="I104" s="3">
        <f t="shared" si="2"/>
        <v>3</v>
      </c>
      <c r="J104" s="13">
        <f>$H$104/$I$104</f>
        <v>0.23364011530875436</v>
      </c>
      <c r="K104" s="9" t="str">
        <f>IF($H$104&lt;=$I$104+0.00001,"OK","NON OK")</f>
        <v>OK</v>
      </c>
    </row>
    <row r="105" spans="2:11" ht="15.75" x14ac:dyDescent="0.25">
      <c r="B105" s="7" t="s">
        <v>82</v>
      </c>
      <c r="C105" s="10">
        <f>$D$77</f>
        <v>93.034000000000006</v>
      </c>
      <c r="D105" s="5">
        <f>$G$77</f>
        <v>0.11840832383859663</v>
      </c>
      <c r="E105" s="12" t="str">
        <f>IF($D$77&lt;=0,"N ≤ 0 : soulèvement",IF($G$77&lt;=$C$15/6+0.000001,"e &lt; A/6 =&gt; Diagramme Trapézoïdal",IF($G$77&lt;$C$15/2,"e &gt; A/6 =&gt; Diagramme triangulaire","e ≥ A/2 : instable")))</f>
        <v>e &lt; A/6 =&gt; Diagramme Trapézoïdal</v>
      </c>
      <c r="F105" s="3">
        <f>IF($D$77&lt;=0,0,IF($G$77&lt;=$C$15/6+0.000001,$D$77/($C$15*$D$15)*(1+6*$G$77/$C$15),IF($G$77&lt;$C$15/2,2*$D$77/(3*$D$15*($C$15/2-$G$77)),1000000000)))/100</f>
        <v>0.85134365043240778</v>
      </c>
      <c r="G105" s="3">
        <f>IF($D$77&lt;=0,0,IF($G$77&lt;=$C$15/6+0.000001,$D$77/($C$15*$D$15)*(1-6*$G$77/$C$15),0))/100</f>
        <v>0.24965043240782891</v>
      </c>
      <c r="H105" s="10">
        <f>(3*$F$105+$G$105)/4</f>
        <v>0.70092034592626307</v>
      </c>
      <c r="I105" s="3">
        <f t="shared" si="2"/>
        <v>3</v>
      </c>
      <c r="J105" s="13">
        <f>$H$105/$I$105</f>
        <v>0.23364011530875436</v>
      </c>
      <c r="K105" s="9" t="str">
        <f>IF($H$105&lt;=$I$105+0.00001,"OK","NON OK")</f>
        <v>OK</v>
      </c>
    </row>
    <row r="106" spans="2:11" ht="15.75" x14ac:dyDescent="0.25">
      <c r="B106" s="7" t="s">
        <v>83</v>
      </c>
      <c r="C106" s="10">
        <f>$D$78</f>
        <v>78.994</v>
      </c>
      <c r="D106" s="5">
        <f>$G$78</f>
        <v>0.46484543129857964</v>
      </c>
      <c r="E106" s="12" t="str">
        <f>IF($D$78&lt;=0,"N ≤ 0 : soulèvement",IF($G$78&lt;=$C$15/6+0.000001,"e &lt; A/6 =&gt; Diagramme Trapézoïdal",IF($G$78&lt;$C$15/2,"e &gt; A/6 =&gt; Diagramme triangulaire","e ≥ A/2 : instable")))</f>
        <v>e &gt; A/6 =&gt; Diagramme triangulaire</v>
      </c>
      <c r="F106" s="3">
        <f>IF($D$78&lt;=0,0,IF($G$78&lt;=$C$15/6+0.000001,$D$78/($C$15*$D$15)*(1+6*$G$78/$C$15),IF($G$78&lt;$C$15/2,2*$D$78/(3*$D$15*($C$15/2-$G$78)),1000000000)))/100</f>
        <v>2.1878878751876472</v>
      </c>
      <c r="G106" s="3">
        <f>IF($D$78&lt;=0,0,IF($G$78&lt;=$C$15/6+0.000001,$D$78/($C$15*$D$15)*(1-6*$G$78/$C$15),0))/100</f>
        <v>0</v>
      </c>
      <c r="H106" s="10">
        <f>(3*$F$106+$G$106)/4</f>
        <v>1.6409159063907355</v>
      </c>
      <c r="I106" s="3">
        <f t="shared" si="2"/>
        <v>3</v>
      </c>
      <c r="J106" s="13">
        <f>$H$106/$I$106</f>
        <v>0.54697196879691179</v>
      </c>
      <c r="K106" s="9" t="str">
        <f>IF($H$106&lt;=$I$106+0.00001,"OK","NON OK")</f>
        <v>OK</v>
      </c>
    </row>
    <row r="107" spans="2:11" ht="15.75" x14ac:dyDescent="0.25">
      <c r="B107" s="7" t="s">
        <v>84</v>
      </c>
      <c r="C107" s="10">
        <f>$D$79</f>
        <v>78.994</v>
      </c>
      <c r="D107" s="5">
        <f>$G$79</f>
        <v>0.46484543129857964</v>
      </c>
      <c r="E107" s="12" t="str">
        <f>IF($D$79&lt;=0,"N ≤ 0 : soulèvement",IF($G$79&lt;=$C$15/6+0.000001,"e &lt; A/6 =&gt; Diagramme Trapézoïdal",IF($G$79&lt;$C$15/2,"e &gt; A/6 =&gt; Diagramme triangulaire","e ≥ A/2 : instable")))</f>
        <v>e &gt; A/6 =&gt; Diagramme triangulaire</v>
      </c>
      <c r="F107" s="3">
        <f>IF($D$79&lt;=0,0,IF($G$79&lt;=$C$15/6+0.000001,$D$79/($C$15*$D$15)*(1+6*$G$79/$C$15),IF($G$79&lt;$C$15/2,2*$D$79/(3*$D$15*($C$15/2-$G$79)),1000000000)))/100</f>
        <v>2.1878878751876472</v>
      </c>
      <c r="G107" s="3">
        <f>IF($D$79&lt;=0,0,IF($G$79&lt;=$C$15/6+0.000001,$D$79/($C$15*$D$15)*(1-6*$G$79/$C$15),0))/100</f>
        <v>0</v>
      </c>
      <c r="H107" s="10">
        <f>(3*$F$107+$G$107)/4</f>
        <v>1.6409159063907355</v>
      </c>
      <c r="I107" s="3">
        <f t="shared" si="2"/>
        <v>3</v>
      </c>
      <c r="J107" s="13">
        <f>$H$107/$I$107</f>
        <v>0.54697196879691179</v>
      </c>
      <c r="K107" s="9" t="str">
        <f>IF($H$107&lt;=$I$107+0.00001,"OK","NON OK")</f>
        <v>OK</v>
      </c>
    </row>
    <row r="108" spans="2:11" ht="15.75" x14ac:dyDescent="0.25">
      <c r="B108" s="7" t="s">
        <v>85</v>
      </c>
      <c r="C108" s="10">
        <f>$D$80</f>
        <v>86.554000000000002</v>
      </c>
      <c r="D108" s="5">
        <f>$G$80</f>
        <v>0.12727314739931142</v>
      </c>
      <c r="E108" s="12" t="str">
        <f>IF($D$80&lt;=0,"N ≤ 0 : soulèvement",IF($G$80&lt;=$C$15/6+0.000001,"e &lt; A/6 =&gt; Diagramme Trapézoïdal",IF($G$80&lt;$C$15/2,"e &gt; A/6 =&gt; Diagramme triangulaire","e ≥ A/2 : instable")))</f>
        <v>e &lt; A/6 =&gt; Diagramme Trapézoïdal</v>
      </c>
      <c r="F108" s="3">
        <f>IF($D$80&lt;=0,0,IF($G$80&lt;=$C$15/6+0.000001,$D$80/($C$15*$D$15)*(1+6*$G$80/$C$15),IF($G$80&lt;$C$15/2,2*$D$80/(3*$D$15*($C$15/2-$G$80)),1000000000)))/100</f>
        <v>0.81300045516613562</v>
      </c>
      <c r="G108" s="3">
        <f>IF($D$80&lt;=0,0,IF($G$80&lt;=$C$15/6+0.000001,$D$80/($C$15*$D$15)*(1-6*$G$80/$C$15),0))/100</f>
        <v>0.21130723714155661</v>
      </c>
      <c r="H108" s="10">
        <f>(3*$F$108+$G$108)/4</f>
        <v>0.6625771506599909</v>
      </c>
      <c r="I108" s="3">
        <f t="shared" si="2"/>
        <v>3</v>
      </c>
      <c r="J108" s="13">
        <f>$H$108/$I$108</f>
        <v>0.22085905021999697</v>
      </c>
      <c r="K108" s="9" t="str">
        <f>IF($H$108&lt;=$I$108+0.00001,"OK","NON OK")</f>
        <v>OK</v>
      </c>
    </row>
    <row r="109" spans="2:11" ht="15.75" x14ac:dyDescent="0.25">
      <c r="B109" s="7" t="s">
        <v>86</v>
      </c>
      <c r="C109" s="10">
        <f>$D$81</f>
        <v>86.554000000000002</v>
      </c>
      <c r="D109" s="5">
        <f>$G$81</f>
        <v>0.12727314739931142</v>
      </c>
      <c r="E109" s="12" t="str">
        <f>IF($D$81&lt;=0,"N ≤ 0 : soulèvement",IF($G$81&lt;=$C$15/6+0.000001,"e &lt; A/6 =&gt; Diagramme Trapézoïdal",IF($G$81&lt;$C$15/2,"e &gt; A/6 =&gt; Diagramme triangulaire","e ≥ A/2 : instable")))</f>
        <v>e &lt; A/6 =&gt; Diagramme Trapézoïdal</v>
      </c>
      <c r="F109" s="3">
        <f>IF($D$81&lt;=0,0,IF($G$81&lt;=$C$15/6+0.000001,$D$81/($C$15*$D$15)*(1+6*$G$81/$C$15),IF($G$81&lt;$C$15/2,2*$D$81/(3*$D$15*($C$15/2-$G$81)),1000000000)))/100</f>
        <v>0.81300045516613562</v>
      </c>
      <c r="G109" s="3">
        <f>IF($D$81&lt;=0,0,IF($G$81&lt;=$C$15/6+0.000001,$D$81/($C$15*$D$15)*(1-6*$G$81/$C$15),0))/100</f>
        <v>0.21130723714155661</v>
      </c>
      <c r="H109" s="10">
        <f>(3*$F$109+$G$109)/4</f>
        <v>0.6625771506599909</v>
      </c>
      <c r="I109" s="3">
        <f t="shared" si="2"/>
        <v>3</v>
      </c>
      <c r="J109" s="13">
        <f>$H$109/$I$109</f>
        <v>0.22085905021999697</v>
      </c>
      <c r="K109" s="9" t="str">
        <f>IF($H$109&lt;=$I$109+0.00001,"OK","NON OK")</f>
        <v>OK</v>
      </c>
    </row>
    <row r="111" spans="2:11" ht="20.100000000000001" customHeight="1" x14ac:dyDescent="0.25">
      <c r="B111" s="28" t="s">
        <v>117</v>
      </c>
      <c r="C111" s="29"/>
      <c r="D111" s="29"/>
      <c r="E111" s="29"/>
      <c r="F111" s="29"/>
      <c r="G111" s="29"/>
      <c r="H111" s="29"/>
      <c r="I111" s="29"/>
      <c r="J111" s="29"/>
      <c r="K111" s="29"/>
    </row>
    <row r="112" spans="2:11" ht="15" customHeight="1" x14ac:dyDescent="0.25">
      <c r="B112" s="20" t="s">
        <v>118</v>
      </c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2:11" ht="20.100000000000001" customHeight="1" x14ac:dyDescent="0.25">
      <c r="B113" s="2" t="s">
        <v>51</v>
      </c>
      <c r="C113" s="2" t="s">
        <v>109</v>
      </c>
      <c r="D113" s="2" t="s">
        <v>119</v>
      </c>
      <c r="E113" s="2" t="s">
        <v>111</v>
      </c>
      <c r="F113" s="2" t="s">
        <v>112</v>
      </c>
      <c r="G113" s="2" t="s">
        <v>113</v>
      </c>
      <c r="H113" s="2" t="s">
        <v>114</v>
      </c>
      <c r="I113" s="2" t="s">
        <v>115</v>
      </c>
      <c r="J113" s="2" t="s">
        <v>116</v>
      </c>
      <c r="K113" s="2" t="s">
        <v>40</v>
      </c>
    </row>
    <row r="114" spans="2:11" ht="15.75" x14ac:dyDescent="0.25">
      <c r="B114" s="7" t="s">
        <v>59</v>
      </c>
      <c r="C114" s="10">
        <f>$D$58</f>
        <v>129.9819</v>
      </c>
      <c r="D114" s="5">
        <f>$H$58</f>
        <v>5.2968913364091465E-2</v>
      </c>
      <c r="E114" s="12" t="str">
        <f>IF($D$58&lt;=0,"N ≤ 0 : soulèvement",IF($H$58&lt;=$D$15/6+0.000001,"e &lt; B/6 =&gt; Diagramme Trapézoïdal",IF($H$58&lt;$D$15/2,"e &gt; B/6 =&gt; Diagramme triangulaire","e ≥ B/2 : instable")))</f>
        <v>e &lt; B/6 =&gt; Diagramme Trapézoïdal</v>
      </c>
      <c r="F114" s="3">
        <f>IF($D$58&lt;=0,0,IF($H$58&lt;=$D$15/6+0.000001,$D$58/($D$15*$C$15)*(1+6*$H$58/$D$15),IF($H$58&lt;$D$15/2,2*$D$58/(3*$C$15*($D$15/2-$H$58)),1000000000)))/100</f>
        <v>0.95715279927173413</v>
      </c>
      <c r="G114" s="3">
        <f>IF($D$58&lt;=0,0,IF($H$58&lt;=$D$15/6+0.000001,$D$58/($D$15*$C$15)*(1-6*$H$58/$D$15),0))/100</f>
        <v>0.58109453800637223</v>
      </c>
      <c r="H114" s="10">
        <f>(3*$F$114+$G$114)/4</f>
        <v>0.86313823395539369</v>
      </c>
      <c r="I114" s="3">
        <f t="shared" ref="I114:I123" si="3">$C$8</f>
        <v>3</v>
      </c>
      <c r="J114" s="13">
        <f>$H$114/$I$114</f>
        <v>0.28771274465179791</v>
      </c>
      <c r="K114" s="9" t="str">
        <f>IF($H$114&lt;=$I$114+0.00001,"OK","NON OK")</f>
        <v>OK</v>
      </c>
    </row>
    <row r="115" spans="2:11" ht="15.75" x14ac:dyDescent="0.25">
      <c r="B115" s="7" t="s">
        <v>62</v>
      </c>
      <c r="C115" s="10">
        <f>$D$59</f>
        <v>117.98190000000001</v>
      </c>
      <c r="D115" s="5">
        <f>$H$59</f>
        <v>5.8356408906789933E-2</v>
      </c>
      <c r="E115" s="12" t="str">
        <f>IF($D$59&lt;=0,"N ≤ 0 : soulèvement",IF($H$59&lt;=$D$15/6+0.000001,"e &lt; B/6 =&gt; Diagramme Trapézoïdal",IF($H$59&lt;$D$15/2,"e &gt; B/6 =&gt; Diagramme triangulaire","e ≥ B/2 : instable")))</f>
        <v>e &lt; B/6 =&gt; Diagramme Trapézoïdal</v>
      </c>
      <c r="F115" s="3">
        <f>IF($D$59&lt;=0,0,IF($H$59&lt;=$D$15/6+0.000001,$D$59/($D$15*$C$15)*(1+6*$H$59/$D$15),IF($H$59&lt;$D$15/2,2*$D$59/(3*$C$15*($D$15/2-$H$59)),1000000000)))/100</f>
        <v>0.8861468821119709</v>
      </c>
      <c r="G115" s="3">
        <f>IF($D$59&lt;=0,0,IF($H$59&lt;=$D$15/6+0.000001,$D$59/($D$15*$C$15)*(1-6*$H$59/$D$15),0))/100</f>
        <v>0.510088620846609</v>
      </c>
      <c r="H115" s="10">
        <f>(3*$F$115+$G$115)/4</f>
        <v>0.79213231679563034</v>
      </c>
      <c r="I115" s="3">
        <f t="shared" si="3"/>
        <v>3</v>
      </c>
      <c r="J115" s="13">
        <f>$H$115/$I$115</f>
        <v>0.26404410559854347</v>
      </c>
      <c r="K115" s="9" t="str">
        <f>IF($H$115&lt;=$I$115+0.00001,"OK","NON OK")</f>
        <v>OK</v>
      </c>
    </row>
    <row r="116" spans="2:11" ht="15.75" x14ac:dyDescent="0.25">
      <c r="B116" s="7" t="s">
        <v>63</v>
      </c>
      <c r="C116" s="10">
        <f>$D$60</f>
        <v>72.98190000000001</v>
      </c>
      <c r="D116" s="5">
        <f>$H$60</f>
        <v>0.22012307161090619</v>
      </c>
      <c r="E116" s="12" t="str">
        <f>IF($D$60&lt;=0,"N ≤ 0 : soulèvement",IF($H$60&lt;=$D$15/6+0.000001,"e &lt; B/6 =&gt; Diagramme Trapézoïdal",IF($H$60&lt;$D$15/2,"e &gt; B/6 =&gt; Diagramme triangulaire","e ≥ B/2 : instable")))</f>
        <v>e &gt; B/6 =&gt; Diagramme triangulaire</v>
      </c>
      <c r="F116" s="3">
        <f>IF($D$60&lt;=0,0,IF($H$60&lt;=$D$15/6+0.000001,$D$60/($D$15*$C$15)*(1+6*$H$60/$D$15),IF($H$60&lt;$D$15/2,2*$D$60/(3*$C$15*($D$15/2-$H$60)),1000000000)))/100</f>
        <v>0.8706355915602777</v>
      </c>
      <c r="G116" s="3">
        <f>IF($D$60&lt;=0,0,IF($H$60&lt;=$D$15/6+0.000001,$D$60/($D$15*$C$15)*(1-6*$H$60/$D$15),0))/100</f>
        <v>0</v>
      </c>
      <c r="H116" s="10">
        <f>(3*$F$116+$G$116)/4</f>
        <v>0.65297669367020827</v>
      </c>
      <c r="I116" s="3">
        <f t="shared" si="3"/>
        <v>3</v>
      </c>
      <c r="J116" s="13">
        <f>$H$116/$I$116</f>
        <v>0.21765889789006942</v>
      </c>
      <c r="K116" s="9" t="str">
        <f>IF($H$116&lt;=$I$116+0.00001,"OK","NON OK")</f>
        <v>OK</v>
      </c>
    </row>
    <row r="117" spans="2:11" ht="15.75" x14ac:dyDescent="0.25">
      <c r="B117" s="7" t="s">
        <v>64</v>
      </c>
      <c r="C117" s="10">
        <f>$D$61</f>
        <v>117.98190000000001</v>
      </c>
      <c r="D117" s="5">
        <f>$H$61</f>
        <v>5.8356408906789933E-2</v>
      </c>
      <c r="E117" s="12" t="str">
        <f>IF($D$61&lt;=0,"N ≤ 0 : soulèvement",IF($H$61&lt;=$D$15/6+0.000001,"e &lt; B/6 =&gt; Diagramme Trapézoïdal",IF($H$61&lt;$D$15/2,"e &gt; B/6 =&gt; Diagramme triangulaire","e ≥ B/2 : instable")))</f>
        <v>e &lt; B/6 =&gt; Diagramme Trapézoïdal</v>
      </c>
      <c r="F117" s="3">
        <f>IF($D$61&lt;=0,0,IF($H$61&lt;=$D$15/6+0.000001,$D$61/($D$15*$C$15)*(1+6*$H$61/$D$15),IF($H$61&lt;$D$15/2,2*$D$61/(3*$C$15*($D$15/2-$H$61)),1000000000)))/100</f>
        <v>0.8861468821119709</v>
      </c>
      <c r="G117" s="3">
        <f>IF($D$61&lt;=0,0,IF($H$61&lt;=$D$15/6+0.000001,$D$61/($D$15*$C$15)*(1-6*$H$61/$D$15),0))/100</f>
        <v>0.510088620846609</v>
      </c>
      <c r="H117" s="10">
        <f>(3*$F$117+$G$117)/4</f>
        <v>0.79213231679563034</v>
      </c>
      <c r="I117" s="3">
        <f t="shared" si="3"/>
        <v>3</v>
      </c>
      <c r="J117" s="13">
        <f>$H$117/$I$117</f>
        <v>0.26404410559854347</v>
      </c>
      <c r="K117" s="9" t="str">
        <f>IF($H$117&lt;=$I$117+0.00001,"OK","NON OK")</f>
        <v>OK</v>
      </c>
    </row>
    <row r="118" spans="2:11" ht="15.75" x14ac:dyDescent="0.25">
      <c r="B118" s="7" t="s">
        <v>65</v>
      </c>
      <c r="C118" s="10">
        <f>$D$62</f>
        <v>42.394000000000005</v>
      </c>
      <c r="D118" s="5">
        <f>$H$62</f>
        <v>0.4210501486059347</v>
      </c>
      <c r="E118" s="12" t="str">
        <f>IF($D$62&lt;=0,"N ≤ 0 : soulèvement",IF($H$62&lt;=$D$15/6+0.000001,"e &lt; B/6 =&gt; Diagramme Trapézoïdal",IF($H$62&lt;$D$15/2,"e &gt; B/6 =&gt; Diagramme triangulaire","e ≥ B/2 : instable")))</f>
        <v>e &gt; B/6 =&gt; Diagramme triangulaire</v>
      </c>
      <c r="F118" s="3">
        <f>IF($D$62&lt;=0,0,IF($H$62&lt;=$D$15/6+0.000001,$D$62/($D$15*$C$15)*(1+6*$H$62/$D$15),IF($H$62&lt;$D$15/2,2*$D$62/(3*$C$15*($D$15/2-$H$62)),1000000000)))/100</f>
        <v>0.94957531914241566</v>
      </c>
      <c r="G118" s="3">
        <f>IF($D$62&lt;=0,0,IF($H$62&lt;=$D$15/6+0.000001,$D$62/($D$15*$C$15)*(1-6*$H$62/$D$15),0))/100</f>
        <v>0</v>
      </c>
      <c r="H118" s="10">
        <f>(3*$F$118+$G$118)/4</f>
        <v>0.71218148935681169</v>
      </c>
      <c r="I118" s="3">
        <f t="shared" si="3"/>
        <v>3</v>
      </c>
      <c r="J118" s="13">
        <f>$H$118/$I$118</f>
        <v>0.23739382978560389</v>
      </c>
      <c r="K118" s="9" t="str">
        <f>IF($H$118&lt;=$I$118+0.00001,"OK","NON OK")</f>
        <v>OK</v>
      </c>
    </row>
    <row r="119" spans="2:11" ht="15.75" x14ac:dyDescent="0.25">
      <c r="B119" s="7" t="s">
        <v>66</v>
      </c>
      <c r="C119" s="10">
        <f>$D$63</f>
        <v>87.394000000000005</v>
      </c>
      <c r="D119" s="5">
        <f>$H$63</f>
        <v>5.8356408906789933E-2</v>
      </c>
      <c r="E119" s="12" t="str">
        <f>IF($D$63&lt;=0,"N ≤ 0 : soulèvement",IF($H$63&lt;=$D$15/6+0.000001,"e &lt; B/6 =&gt; Diagramme Trapézoïdal",IF($H$63&lt;$D$15/2,"e &gt; B/6 =&gt; Diagramme triangulaire","e ≥ B/2 : instable")))</f>
        <v>e &lt; B/6 =&gt; Diagramme Trapézoïdal</v>
      </c>
      <c r="F119" s="3">
        <f>IF($D$63&lt;=0,0,IF($H$63&lt;=$D$15/6+0.000001,$D$63/($D$15*$C$15)*(1+6*$H$63/$D$15),IF($H$63&lt;$D$15/2,2*$D$63/(3*$C$15*($D$15/2-$H$63)),1000000000)))/100</f>
        <v>0.65640509786071921</v>
      </c>
      <c r="G119" s="3">
        <f>IF($D$63&lt;=0,0,IF($H$63&lt;=$D$15/6+0.000001,$D$63/($D$15*$C$15)*(1-6*$H$63/$D$15),0))/100</f>
        <v>0.37784342284933997</v>
      </c>
      <c r="H119" s="10">
        <f>(3*$F$119+$G$119)/4</f>
        <v>0.58676467910787444</v>
      </c>
      <c r="I119" s="3">
        <f t="shared" si="3"/>
        <v>3</v>
      </c>
      <c r="J119" s="13">
        <f>$H$119/$I$119</f>
        <v>0.19558822636929149</v>
      </c>
      <c r="K119" s="9" t="str">
        <f>IF($H$119&lt;=$I$119+0.00001,"OK","NON OK")</f>
        <v>OK</v>
      </c>
    </row>
    <row r="120" spans="2:11" ht="15.75" x14ac:dyDescent="0.25">
      <c r="B120" s="7" t="s">
        <v>67</v>
      </c>
      <c r="C120" s="10">
        <f>$D$64</f>
        <v>88.281900000000007</v>
      </c>
      <c r="D120" s="5">
        <f>$H$64</f>
        <v>0.15597761262501145</v>
      </c>
      <c r="E120" s="12" t="str">
        <f>IF($D$64&lt;=0,"N ≤ 0 : soulèvement",IF($H$64&lt;=$D$15/6+0.000001,"e &lt; B/6 =&gt; Diagramme Trapézoïdal",IF($H$64&lt;$D$15/2,"e &gt; B/6 =&gt; Diagramme triangulaire","e ≥ B/2 : instable")))</f>
        <v>e &lt; B/6 =&gt; Diagramme Trapézoïdal</v>
      </c>
      <c r="F120" s="3">
        <f>IF($D$64&lt;=0,0,IF($H$64&lt;=$D$15/6+0.000001,$D$64/($D$15*$C$15)*(1+6*$H$64/$D$15),IF($H$64&lt;$D$15/2,2*$D$64/(3*$C$15*($D$15/2-$H$64)),1000000000)))/100</f>
        <v>0.89843636777423752</v>
      </c>
      <c r="G120" s="3">
        <f>IF($D$64&lt;=0,0,IF($H$64&lt;=$D$15/6+0.000001,$D$64/($D$15*$C$15)*(1-6*$H$64/$D$15),0))/100</f>
        <v>0.14631984524351394</v>
      </c>
      <c r="H120" s="10">
        <f>(3*$F$120+$G$120)/4</f>
        <v>0.71040723714155662</v>
      </c>
      <c r="I120" s="3">
        <f t="shared" si="3"/>
        <v>3</v>
      </c>
      <c r="J120" s="13">
        <f>$H$120/$I$120</f>
        <v>0.23680241238051888</v>
      </c>
      <c r="K120" s="9" t="str">
        <f>IF($H$120&lt;=$I$120+0.00001,"OK","NON OK")</f>
        <v>OK</v>
      </c>
    </row>
    <row r="121" spans="2:11" ht="15.75" x14ac:dyDescent="0.25">
      <c r="B121" s="7" t="s">
        <v>68</v>
      </c>
      <c r="C121" s="10">
        <f>$D$65</f>
        <v>128.78190000000001</v>
      </c>
      <c r="D121" s="5">
        <f>$H$65</f>
        <v>5.3462481917101699E-2</v>
      </c>
      <c r="E121" s="12" t="str">
        <f>IF($D$65&lt;=0,"N ≤ 0 : soulèvement",IF($H$65&lt;=$D$15/6+0.000001,"e &lt; B/6 =&gt; Diagramme Trapézoïdal",IF($H$65&lt;$D$15/2,"e &gt; B/6 =&gt; Diagramme triangulaire","e ≥ B/2 : instable")))</f>
        <v>e &lt; B/6 =&gt; Diagramme Trapézoïdal</v>
      </c>
      <c r="F121" s="3">
        <f>IF($D$65&lt;=0,0,IF($H$65&lt;=$D$15/6+0.000001,$D$65/($D$15*$C$15)*(1+6*$H$65/$D$15),IF($H$65&lt;$D$15/2,2*$D$65/(3*$C$15*($D$15/2-$H$65)),1000000000)))/100</f>
        <v>0.95005220755575781</v>
      </c>
      <c r="G121" s="3">
        <f>IF($D$65&lt;=0,0,IF($H$65&lt;=$D$15/6+0.000001,$D$65/($D$15*$C$15)*(1-6*$H$65/$D$15),0))/100</f>
        <v>0.57399394629039591</v>
      </c>
      <c r="H121" s="10">
        <f>(3*$F$121+$G$121)/4</f>
        <v>0.85603764223941736</v>
      </c>
      <c r="I121" s="3">
        <f t="shared" si="3"/>
        <v>3</v>
      </c>
      <c r="J121" s="13">
        <f>$H$121/$I$121</f>
        <v>0.28534588074647244</v>
      </c>
      <c r="K121" s="9" t="str">
        <f>IF($H$121&lt;=$I$121+0.00001,"OK","NON OK")</f>
        <v>OK</v>
      </c>
    </row>
    <row r="122" spans="2:11" ht="15.75" x14ac:dyDescent="0.25">
      <c r="B122" s="7" t="s">
        <v>69</v>
      </c>
      <c r="C122" s="10">
        <f>$D$66</f>
        <v>77.48190000000001</v>
      </c>
      <c r="D122" s="5">
        <f>$H$66</f>
        <v>0.17771892532320449</v>
      </c>
      <c r="E122" s="12" t="str">
        <f>IF($D$66&lt;=0,"N ≤ 0 : soulèvement",IF($H$66&lt;=$D$15/6+0.000001,"e &lt; B/6 =&gt; Diagramme Trapézoïdal",IF($H$66&lt;$D$15/2,"e &gt; B/6 =&gt; Diagramme triangulaire","e ≥ B/2 : instable")))</f>
        <v>e &lt; B/6 =&gt; Diagramme Trapézoïdal</v>
      </c>
      <c r="F122" s="3">
        <f>IF($D$66&lt;=0,0,IF($H$66&lt;=$D$15/6+0.000001,$D$66/($D$15*$C$15)*(1+6*$H$66/$D$15),IF($H$66&lt;$D$15/2,2*$D$66/(3*$C$15*($D$15/2-$H$66)),1000000000)))/100</f>
        <v>0.83453104233045039</v>
      </c>
      <c r="G122" s="3">
        <f>IF($D$66&lt;=0,0,IF($H$66&lt;=$D$15/6+0.000001,$D$66/($D$15*$C$15)*(1-6*$H$66/$D$15),0))/100</f>
        <v>8.2414519799727012E-2</v>
      </c>
      <c r="H122" s="10">
        <f>(3*$F$122+$G$122)/4</f>
        <v>0.64650191169776949</v>
      </c>
      <c r="I122" s="3">
        <f t="shared" si="3"/>
        <v>3</v>
      </c>
      <c r="J122" s="13">
        <f>$H$122/$I$122</f>
        <v>0.21550063723258983</v>
      </c>
      <c r="K122" s="9" t="str">
        <f>IF($H$122&lt;=$I$122+0.00001,"OK","NON OK")</f>
        <v>OK</v>
      </c>
    </row>
    <row r="123" spans="2:11" ht="15.75" x14ac:dyDescent="0.25">
      <c r="B123" s="7" t="s">
        <v>70</v>
      </c>
      <c r="C123" s="10">
        <f>$D$67</f>
        <v>117.98190000000001</v>
      </c>
      <c r="D123" s="5">
        <f>$H$67</f>
        <v>5.8356408906789933E-2</v>
      </c>
      <c r="E123" s="12" t="str">
        <f>IF($D$67&lt;=0,"N ≤ 0 : soulèvement",IF($H$67&lt;=$D$15/6+0.000001,"e &lt; B/6 =&gt; Diagramme Trapézoïdal",IF($H$67&lt;$D$15/2,"e &gt; B/6 =&gt; Diagramme triangulaire","e ≥ B/2 : instable")))</f>
        <v>e &lt; B/6 =&gt; Diagramme Trapézoïdal</v>
      </c>
      <c r="F123" s="3">
        <f>IF($D$67&lt;=0,0,IF($H$67&lt;=$D$15/6+0.000001,$D$67/($D$15*$C$15)*(1+6*$H$67/$D$15),IF($H$67&lt;$D$15/2,2*$D$67/(3*$C$15*($D$15/2-$H$67)),1000000000)))/100</f>
        <v>0.8861468821119709</v>
      </c>
      <c r="G123" s="3">
        <f>IF($D$67&lt;=0,0,IF($H$67&lt;=$D$15/6+0.000001,$D$67/($D$15*$C$15)*(1-6*$H$67/$D$15),0))/100</f>
        <v>0.510088620846609</v>
      </c>
      <c r="H123" s="10">
        <f>(3*$F$123+$G$123)/4</f>
        <v>0.79213231679563034</v>
      </c>
      <c r="I123" s="3">
        <f t="shared" si="3"/>
        <v>3</v>
      </c>
      <c r="J123" s="13">
        <f>$H$123/$I$123</f>
        <v>0.26404410559854347</v>
      </c>
      <c r="K123" s="9" t="str">
        <f>IF($H$123&lt;=$I$123+0.00001,"OK","NON OK")</f>
        <v>OK</v>
      </c>
    </row>
    <row r="124" spans="2:11" ht="15.75" x14ac:dyDescent="0.25">
      <c r="B124" s="7" t="s">
        <v>71</v>
      </c>
      <c r="C124" s="10">
        <f>$D$68</f>
        <v>95.394000000000005</v>
      </c>
      <c r="D124" s="5">
        <f>$H$68</f>
        <v>5.3462481917101699E-2</v>
      </c>
      <c r="E124" s="12" t="str">
        <f>IF($D$68&lt;=0,"N ≤ 0 : soulèvement",IF($H$68&lt;=$D$15/6+0.000001,"e &lt; B/6 =&gt; Diagramme Trapézoïdal",IF($H$68&lt;$D$15/2,"e &gt; B/6 =&gt; Diagramme triangulaire","e ≥ B/2 : instable")))</f>
        <v>e &lt; B/6 =&gt; Diagramme Trapézoïdal</v>
      </c>
      <c r="F124" s="3">
        <f>IF($D$68&lt;=0,0,IF($H$68&lt;=$D$15/6+0.000001,$D$68/($D$15*$C$15)*(1+6*$H$68/$D$15),IF($H$68&lt;$D$15/2,2*$D$68/(3*$C$15*($D$15/2-$H$68)),1000000000)))/100</f>
        <v>0.70374237596722788</v>
      </c>
      <c r="G124" s="3">
        <f>IF($D$68&lt;=0,0,IF($H$68&lt;=$D$15/6+0.000001,$D$68/($D$15*$C$15)*(1-6*$H$68/$D$15),0))/100</f>
        <v>0.42518070095584881</v>
      </c>
      <c r="H124" s="10">
        <f>(3*$F$124+$G$124)/4</f>
        <v>0.63410195721438312</v>
      </c>
      <c r="I124" s="3">
        <f t="shared" ref="I124:I129" si="4">$B$8</f>
        <v>2</v>
      </c>
      <c r="J124" s="13">
        <f>$H$124/$I$124</f>
        <v>0.31705097860719156</v>
      </c>
      <c r="K124" s="9" t="str">
        <f>IF($H$124&lt;=$I$124+0.00001,"OK","NON OK")</f>
        <v>OK</v>
      </c>
    </row>
    <row r="125" spans="2:11" ht="15.75" x14ac:dyDescent="0.25">
      <c r="B125" s="7" t="s">
        <v>73</v>
      </c>
      <c r="C125" s="10">
        <f>$D$69</f>
        <v>87.394000000000005</v>
      </c>
      <c r="D125" s="5">
        <f>$H$69</f>
        <v>5.8356408906789933E-2</v>
      </c>
      <c r="E125" s="12" t="str">
        <f>IF($D$69&lt;=0,"N ≤ 0 : soulèvement",IF($H$69&lt;=$D$15/6+0.000001,"e &lt; B/6 =&gt; Diagramme Trapézoïdal",IF($H$69&lt;$D$15/2,"e &gt; B/6 =&gt; Diagramme triangulaire","e ≥ B/2 : instable")))</f>
        <v>e &lt; B/6 =&gt; Diagramme Trapézoïdal</v>
      </c>
      <c r="F125" s="3">
        <f>IF($D$69&lt;=0,0,IF($H$69&lt;=$D$15/6+0.000001,$D$69/($D$15*$C$15)*(1+6*$H$69/$D$15),IF($H$69&lt;$D$15/2,2*$D$69/(3*$C$15*($D$15/2-$H$69)),1000000000)))/100</f>
        <v>0.65640509786071921</v>
      </c>
      <c r="G125" s="3">
        <f>IF($D$69&lt;=0,0,IF($H$69&lt;=$D$15/6+0.000001,$D$69/($D$15*$C$15)*(1-6*$H$69/$D$15),0))/100</f>
        <v>0.37784342284933997</v>
      </c>
      <c r="H125" s="10">
        <f>(3*$F$125+$G$125)/4</f>
        <v>0.58676467910787444</v>
      </c>
      <c r="I125" s="3">
        <f t="shared" si="4"/>
        <v>2</v>
      </c>
      <c r="J125" s="13">
        <f>$H$125/$I$125</f>
        <v>0.29338233955393722</v>
      </c>
      <c r="K125" s="9" t="str">
        <f>IF($H$125&lt;=$I$125+0.00001,"OK","NON OK")</f>
        <v>OK</v>
      </c>
    </row>
    <row r="126" spans="2:11" ht="15.75" x14ac:dyDescent="0.25">
      <c r="B126" s="7" t="s">
        <v>74</v>
      </c>
      <c r="C126" s="10">
        <f>$D$70</f>
        <v>57.394000000000005</v>
      </c>
      <c r="D126" s="5">
        <f>$H$70</f>
        <v>0.17771892532320449</v>
      </c>
      <c r="E126" s="12" t="str">
        <f>IF($D$70&lt;=0,"N ≤ 0 : soulèvement",IF($H$70&lt;=$D$15/6+0.000001,"e &lt; B/6 =&gt; Diagramme Trapézoïdal",IF($H$70&lt;$D$15/2,"e &gt; B/6 =&gt; Diagramme triangulaire","e ≥ B/2 : instable")))</f>
        <v>e &lt; B/6 =&gt; Diagramme Trapézoïdal</v>
      </c>
      <c r="F126" s="3">
        <f>IF($D$70&lt;=0,0,IF($H$70&lt;=$D$15/6+0.000001,$D$70/($D$15*$C$15)*(1+6*$H$70/$D$15),IF($H$70&lt;$D$15/2,2*$D$70/(3*$C$15*($D$15/2-$H$70)),1000000000)))/100</f>
        <v>0.61817114246700045</v>
      </c>
      <c r="G126" s="3">
        <f>IF($D$70&lt;=0,0,IF($H$70&lt;=$D$15/6+0.000001,$D$70/($D$15*$C$15)*(1-6*$H$70/$D$15),0))/100</f>
        <v>6.1047792444242244E-2</v>
      </c>
      <c r="H126" s="10">
        <f>(3*$F$126+$G$126)/4</f>
        <v>0.47889030496131091</v>
      </c>
      <c r="I126" s="3">
        <f t="shared" si="4"/>
        <v>2</v>
      </c>
      <c r="J126" s="13">
        <f>$H$126/$I$126</f>
        <v>0.23944515248065545</v>
      </c>
      <c r="K126" s="9" t="str">
        <f>IF($H$126&lt;=$I$126+0.00001,"OK","NON OK")</f>
        <v>OK</v>
      </c>
    </row>
    <row r="127" spans="2:11" ht="15.75" x14ac:dyDescent="0.25">
      <c r="B127" s="7" t="s">
        <v>75</v>
      </c>
      <c r="C127" s="10">
        <f>$D$71</f>
        <v>87.394000000000005</v>
      </c>
      <c r="D127" s="5">
        <f>$H$71</f>
        <v>5.8356408906789933E-2</v>
      </c>
      <c r="E127" s="12" t="str">
        <f>IF($D$71&lt;=0,"N ≤ 0 : soulèvement",IF($H$71&lt;=$D$15/6+0.000001,"e &lt; B/6 =&gt; Diagramme Trapézoïdal",IF($H$71&lt;$D$15/2,"e &gt; B/6 =&gt; Diagramme triangulaire","e ≥ B/2 : instable")))</f>
        <v>e &lt; B/6 =&gt; Diagramme Trapézoïdal</v>
      </c>
      <c r="F127" s="3">
        <f>IF($D$71&lt;=0,0,IF($H$71&lt;=$D$15/6+0.000001,$D$71/($D$15*$C$15)*(1+6*$H$71/$D$15),IF($H$71&lt;$D$15/2,2*$D$71/(3*$C$15*($D$15/2-$H$71)),1000000000)))/100</f>
        <v>0.65640509786071921</v>
      </c>
      <c r="G127" s="3">
        <f>IF($D$71&lt;=0,0,IF($H$71&lt;=$D$15/6+0.000001,$D$71/($D$15*$C$15)*(1-6*$H$71/$D$15),0))/100</f>
        <v>0.37784342284933997</v>
      </c>
      <c r="H127" s="10">
        <f>(3*$F$127+$G$127)/4</f>
        <v>0.58676467910787444</v>
      </c>
      <c r="I127" s="3">
        <f t="shared" si="4"/>
        <v>2</v>
      </c>
      <c r="J127" s="13">
        <f>$H$127/$I$127</f>
        <v>0.29338233955393722</v>
      </c>
      <c r="K127" s="9" t="str">
        <f>IF($H$127&lt;=$I$127+0.00001,"OK","NON OK")</f>
        <v>OK</v>
      </c>
    </row>
    <row r="128" spans="2:11" ht="15.75" x14ac:dyDescent="0.25">
      <c r="B128" s="7" t="s">
        <v>76</v>
      </c>
      <c r="C128" s="10">
        <f>$D$72</f>
        <v>67.594000000000008</v>
      </c>
      <c r="D128" s="5">
        <f>$H$72</f>
        <v>0.12826582241027309</v>
      </c>
      <c r="E128" s="12" t="str">
        <f>IF($D$72&lt;=0,"N ≤ 0 : soulèvement",IF($H$72&lt;=$D$15/6+0.000001,"e &lt; B/6 =&gt; Diagramme Trapézoïdal",IF($H$72&lt;$D$15/2,"e &gt; B/6 =&gt; Diagramme triangulaire","e ≥ B/2 : instable")))</f>
        <v>e &lt; B/6 =&gt; Diagramme Trapézoïdal</v>
      </c>
      <c r="F128" s="3">
        <f>IF($D$72&lt;=0,0,IF($H$72&lt;=$D$15/6+0.000001,$D$72/($D$15*$C$15)*(1+6*$H$72/$D$15),IF($H$72&lt;$D$15/2,2*$D$72/(3*$C$15*($D$15/2-$H$72)),1000000000)))/100</f>
        <v>0.63674192080109249</v>
      </c>
      <c r="G128" s="3">
        <f>IF($D$72&lt;=0,0,IF($H$72&lt;=$D$15/6+0.000001,$D$72/($D$15*$C$15)*(1-6*$H$72/$D$15),0))/100</f>
        <v>0.16318707328174786</v>
      </c>
      <c r="H128" s="10">
        <f>(3*$F$128+$G$128)/4</f>
        <v>0.51835320892125636</v>
      </c>
      <c r="I128" s="3">
        <f t="shared" si="4"/>
        <v>2</v>
      </c>
      <c r="J128" s="13">
        <f>$H$128/$I$128</f>
        <v>0.25917660446062818</v>
      </c>
      <c r="K128" s="9" t="str">
        <f>IF($H$128&lt;=$I$128+0.00001,"OK","NON OK")</f>
        <v>OK</v>
      </c>
    </row>
    <row r="129" spans="2:11" ht="15.75" x14ac:dyDescent="0.25">
      <c r="B129" s="7" t="s">
        <v>77</v>
      </c>
      <c r="C129" s="10">
        <f>$D$73</f>
        <v>94.594000000000008</v>
      </c>
      <c r="D129" s="5">
        <f>$H$73</f>
        <v>5.3914624606211804E-2</v>
      </c>
      <c r="E129" s="12" t="str">
        <f>IF($D$73&lt;=0,"N ≤ 0 : soulèvement",IF($H$73&lt;=$D$15/6+0.000001,"e &lt; B/6 =&gt; Diagramme Trapézoïdal",IF($H$73&lt;$D$15/2,"e &gt; B/6 =&gt; Diagramme triangulaire","e ≥ B/2 : instable")))</f>
        <v>e &lt; B/6 =&gt; Diagramme Trapézoïdal</v>
      </c>
      <c r="F129" s="3">
        <f>IF($D$73&lt;=0,0,IF($H$73&lt;=$D$15/6+0.000001,$D$73/($D$15*$C$15)*(1+6*$H$73/$D$15),IF($H$73&lt;$D$15/2,2*$D$73/(3*$C$15*($D$15/2-$H$73)),1000000000)))/100</f>
        <v>0.69900864815657715</v>
      </c>
      <c r="G129" s="3">
        <f>IF($D$73&lt;=0,0,IF($H$73&lt;=$D$15/6+0.000001,$D$73/($D$15*$C$15)*(1-6*$H$73/$D$15),0))/100</f>
        <v>0.42044697314519797</v>
      </c>
      <c r="H129" s="10">
        <f>(3*$F$129+$G$129)/4</f>
        <v>0.62936822940373227</v>
      </c>
      <c r="I129" s="3">
        <f t="shared" si="4"/>
        <v>2</v>
      </c>
      <c r="J129" s="13">
        <f>$H$129/$I$129</f>
        <v>0.31468411470186614</v>
      </c>
      <c r="K129" s="9" t="str">
        <f>IF($H$129&lt;=$I$129+0.00001,"OK","NON OK")</f>
        <v>OK</v>
      </c>
    </row>
    <row r="130" spans="2:11" ht="15.75" x14ac:dyDescent="0.25">
      <c r="B130" s="7" t="s">
        <v>78</v>
      </c>
      <c r="C130" s="10">
        <f>$D$74</f>
        <v>100.59400000000001</v>
      </c>
      <c r="D130" s="5">
        <f>$H$74</f>
        <v>5.0698848837902849E-2</v>
      </c>
      <c r="E130" s="12" t="str">
        <f>IF($D$74&lt;=0,"N ≤ 0 : soulèvement",IF($H$74&lt;=$D$15/6+0.000001,"e &lt; B/6 =&gt; Diagramme Trapézoïdal",IF($H$74&lt;$D$15/2,"e &gt; B/6 =&gt; Diagramme triangulaire","e ≥ B/2 : instable")))</f>
        <v>e &lt; B/6 =&gt; Diagramme Trapézoïdal</v>
      </c>
      <c r="F130" s="3">
        <f>IF($D$74&lt;=0,0,IF($H$74&lt;=$D$15/6+0.000001,$D$74/($D$15*$C$15)*(1+6*$H$74/$D$15),IF($H$74&lt;$D$15/2,2*$D$74/(3*$C$15*($D$15/2-$H$74)),1000000000)))/100</f>
        <v>0.73451160673645877</v>
      </c>
      <c r="G130" s="3">
        <f>IF($D$74&lt;=0,0,IF($H$74&lt;=$D$15/6+0.000001,$D$74/($D$15*$C$15)*(1-6*$H$74/$D$15),0))/100</f>
        <v>0.45594993172507969</v>
      </c>
      <c r="H130" s="10">
        <f>(3*$F$130+$G$130)/4</f>
        <v>0.664871187983614</v>
      </c>
      <c r="I130" s="3">
        <f t="shared" ref="I130:I137" si="5">$D$8</f>
        <v>3</v>
      </c>
      <c r="J130" s="13">
        <f>$H$130/$I$130</f>
        <v>0.22162372932787133</v>
      </c>
      <c r="K130" s="9" t="str">
        <f>IF($H$130&lt;=$I$130+0.00001,"OK","NON OK")</f>
        <v>OK</v>
      </c>
    </row>
    <row r="131" spans="2:11" ht="15.75" x14ac:dyDescent="0.25">
      <c r="B131" s="7" t="s">
        <v>80</v>
      </c>
      <c r="C131" s="10">
        <f>$D$75</f>
        <v>100.59400000000001</v>
      </c>
      <c r="D131" s="5">
        <f>$H$75</f>
        <v>5.0698848837902849E-2</v>
      </c>
      <c r="E131" s="12" t="str">
        <f>IF($D$75&lt;=0,"N ≤ 0 : soulèvement",IF($H$75&lt;=$D$15/6+0.000001,"e &lt; B/6 =&gt; Diagramme Trapézoïdal",IF($H$75&lt;$D$15/2,"e &gt; B/6 =&gt; Diagramme triangulaire","e ≥ B/2 : instable")))</f>
        <v>e &lt; B/6 =&gt; Diagramme Trapézoïdal</v>
      </c>
      <c r="F131" s="3">
        <f>IF($D$75&lt;=0,0,IF($H$75&lt;=$D$15/6+0.000001,$D$75/($D$15*$C$15)*(1+6*$H$75/$D$15),IF($H$75&lt;$D$15/2,2*$D$75/(3*$C$15*($D$15/2-$H$75)),1000000000)))/100</f>
        <v>0.73451160673645877</v>
      </c>
      <c r="G131" s="3">
        <f>IF($D$75&lt;=0,0,IF($H$75&lt;=$D$15/6+0.000001,$D$75/($D$15*$C$15)*(1-6*$H$75/$D$15),0))/100</f>
        <v>0.45594993172507969</v>
      </c>
      <c r="H131" s="10">
        <f>(3*$F$131+$G$131)/4</f>
        <v>0.664871187983614</v>
      </c>
      <c r="I131" s="3">
        <f t="shared" si="5"/>
        <v>3</v>
      </c>
      <c r="J131" s="13">
        <f>$H$131/$I$131</f>
        <v>0.22162372932787133</v>
      </c>
      <c r="K131" s="9" t="str">
        <f>IF($H$131&lt;=$I$131+0.00001,"OK","NON OK")</f>
        <v>OK</v>
      </c>
    </row>
    <row r="132" spans="2:11" ht="15.75" x14ac:dyDescent="0.25">
      <c r="B132" s="7" t="s">
        <v>81</v>
      </c>
      <c r="C132" s="10">
        <f>$D$76</f>
        <v>93.034000000000006</v>
      </c>
      <c r="D132" s="5">
        <f>$H$76</f>
        <v>5.4818668443794731E-2</v>
      </c>
      <c r="E132" s="12" t="str">
        <f>IF($D$76&lt;=0,"N ≤ 0 : soulèvement",IF($H$76&lt;=$D$15/6+0.000001,"e &lt; B/6 =&gt; Diagramme Trapézoïdal",IF($H$76&lt;$D$15/2,"e &gt; B/6 =&gt; Diagramme triangulaire","e ≥ B/2 : instable")))</f>
        <v>e &lt; B/6 =&gt; Diagramme Trapézoïdal</v>
      </c>
      <c r="F132" s="3">
        <f>IF($D$76&lt;=0,0,IF($H$76&lt;=$D$15/6+0.000001,$D$76/($D$15*$C$15)*(1+6*$H$76/$D$15),IF($H$76&lt;$D$15/2,2*$D$76/(3*$C$15*($D$15/2-$H$76)),1000000000)))/100</f>
        <v>0.68977787892580789</v>
      </c>
      <c r="G132" s="3">
        <f>IF($D$76&lt;=0,0,IF($H$76&lt;=$D$15/6+0.000001,$D$76/($D$15*$C$15)*(1-6*$H$76/$D$15),0))/100</f>
        <v>0.41121620391442881</v>
      </c>
      <c r="H132" s="10">
        <f>(3*$F$132+$G$132)/4</f>
        <v>0.62013746017296312</v>
      </c>
      <c r="I132" s="3">
        <f t="shared" si="5"/>
        <v>3</v>
      </c>
      <c r="J132" s="13">
        <f>$H$132/$I$132</f>
        <v>0.20671248672432105</v>
      </c>
      <c r="K132" s="9" t="str">
        <f>IF($H$132&lt;=$I$132+0.00001,"OK","NON OK")</f>
        <v>OK</v>
      </c>
    </row>
    <row r="133" spans="2:11" ht="15.75" x14ac:dyDescent="0.25">
      <c r="B133" s="7" t="s">
        <v>82</v>
      </c>
      <c r="C133" s="10">
        <f>$D$77</f>
        <v>93.034000000000006</v>
      </c>
      <c r="D133" s="5">
        <f>$H$77</f>
        <v>5.4818668443794731E-2</v>
      </c>
      <c r="E133" s="12" t="str">
        <f>IF($D$77&lt;=0,"N ≤ 0 : soulèvement",IF($H$77&lt;=$D$15/6+0.000001,"e &lt; B/6 =&gt; Diagramme Trapézoïdal",IF($H$77&lt;$D$15/2,"e &gt; B/6 =&gt; Diagramme triangulaire","e ≥ B/2 : instable")))</f>
        <v>e &lt; B/6 =&gt; Diagramme Trapézoïdal</v>
      </c>
      <c r="F133" s="3">
        <f>IF($D$77&lt;=0,0,IF($H$77&lt;=$D$15/6+0.000001,$D$77/($D$15*$C$15)*(1+6*$H$77/$D$15),IF($H$77&lt;$D$15/2,2*$D$77/(3*$C$15*($D$15/2-$H$77)),1000000000)))/100</f>
        <v>0.68977787892580789</v>
      </c>
      <c r="G133" s="3">
        <f>IF($D$77&lt;=0,0,IF($H$77&lt;=$D$15/6+0.000001,$D$77/($D$15*$C$15)*(1-6*$H$77/$D$15),0))/100</f>
        <v>0.41121620391442881</v>
      </c>
      <c r="H133" s="10">
        <f>(3*$F$133+$G$133)/4</f>
        <v>0.62013746017296312</v>
      </c>
      <c r="I133" s="3">
        <f t="shared" si="5"/>
        <v>3</v>
      </c>
      <c r="J133" s="13">
        <f>$H$133/$I$133</f>
        <v>0.20671248672432105</v>
      </c>
      <c r="K133" s="9" t="str">
        <f>IF($H$133&lt;=$I$133+0.00001,"OK","NON OK")</f>
        <v>OK</v>
      </c>
    </row>
    <row r="134" spans="2:11" ht="15.75" x14ac:dyDescent="0.25">
      <c r="B134" s="7" t="s">
        <v>83</v>
      </c>
      <c r="C134" s="10">
        <f>$D$78</f>
        <v>78.994</v>
      </c>
      <c r="D134" s="5">
        <f>$H$78</f>
        <v>6.4561865458136053E-2</v>
      </c>
      <c r="E134" s="12" t="str">
        <f>IF($D$78&lt;=0,"N ≤ 0 : soulèvement",IF($H$78&lt;=$D$15/6+0.000001,"e &lt; B/6 =&gt; Diagramme Trapézoïdal",IF($H$78&lt;$D$15/2,"e &gt; B/6 =&gt; Diagramme triangulaire","e ≥ B/2 : instable")))</f>
        <v>e &lt; B/6 =&gt; Diagramme Trapézoïdal</v>
      </c>
      <c r="F134" s="3">
        <f>IF($D$78&lt;=0,0,IF($H$78&lt;=$D$15/6+0.000001,$D$78/($D$15*$C$15)*(1+6*$H$78/$D$15),IF($H$78&lt;$D$15/2,2*$D$78/(3*$C$15*($D$15/2-$H$78)),1000000000)))/100</f>
        <v>0.60670095584888473</v>
      </c>
      <c r="G134" s="3">
        <f>IF($D$78&lt;=0,0,IF($H$78&lt;=$D$15/6+0.000001,$D$78/($D$15*$C$15)*(1-6*$H$78/$D$15),0))/100</f>
        <v>0.32813928083750565</v>
      </c>
      <c r="H134" s="10">
        <f>(3*$F$134+$G$134)/4</f>
        <v>0.53706053709603996</v>
      </c>
      <c r="I134" s="3">
        <f t="shared" si="5"/>
        <v>3</v>
      </c>
      <c r="J134" s="13">
        <f>$H$134/$I$134</f>
        <v>0.17902017903201331</v>
      </c>
      <c r="K134" s="9" t="str">
        <f>IF($H$134&lt;=$I$134+0.00001,"OK","NON OK")</f>
        <v>OK</v>
      </c>
    </row>
    <row r="135" spans="2:11" ht="15.75" x14ac:dyDescent="0.25">
      <c r="B135" s="7" t="s">
        <v>84</v>
      </c>
      <c r="C135" s="10">
        <f>$D$79</f>
        <v>78.994</v>
      </c>
      <c r="D135" s="5">
        <f>$H$79</f>
        <v>6.4561865458136053E-2</v>
      </c>
      <c r="E135" s="12" t="str">
        <f>IF($D$79&lt;=0,"N ≤ 0 : soulèvement",IF($H$79&lt;=$D$15/6+0.000001,"e &lt; B/6 =&gt; Diagramme Trapézoïdal",IF($H$79&lt;$D$15/2,"e &gt; B/6 =&gt; Diagramme triangulaire","e ≥ B/2 : instable")))</f>
        <v>e &lt; B/6 =&gt; Diagramme Trapézoïdal</v>
      </c>
      <c r="F135" s="3">
        <f>IF($D$79&lt;=0,0,IF($H$79&lt;=$D$15/6+0.000001,$D$79/($D$15*$C$15)*(1+6*$H$79/$D$15),IF($H$79&lt;$D$15/2,2*$D$79/(3*$C$15*($D$15/2-$H$79)),1000000000)))/100</f>
        <v>0.60670095584888473</v>
      </c>
      <c r="G135" s="3">
        <f>IF($D$79&lt;=0,0,IF($H$79&lt;=$D$15/6+0.000001,$D$79/($D$15*$C$15)*(1-6*$H$79/$D$15),0))/100</f>
        <v>0.32813928083750565</v>
      </c>
      <c r="H135" s="10">
        <f>(3*$F$135+$G$135)/4</f>
        <v>0.53706053709603996</v>
      </c>
      <c r="I135" s="3">
        <f t="shared" si="5"/>
        <v>3</v>
      </c>
      <c r="J135" s="13">
        <f>$H$135/$I$135</f>
        <v>0.17902017903201331</v>
      </c>
      <c r="K135" s="9" t="str">
        <f>IF($H$135&lt;=$I$135+0.00001,"OK","NON OK")</f>
        <v>OK</v>
      </c>
    </row>
    <row r="136" spans="2:11" ht="15.75" x14ac:dyDescent="0.25">
      <c r="B136" s="7" t="s">
        <v>85</v>
      </c>
      <c r="C136" s="10">
        <f>$D$80</f>
        <v>86.554000000000002</v>
      </c>
      <c r="D136" s="5">
        <f>$H$80</f>
        <v>5.8922753425607127E-2</v>
      </c>
      <c r="E136" s="12" t="str">
        <f>IF($D$80&lt;=0,"N ≤ 0 : soulèvement",IF($H$80&lt;=$D$15/6+0.000001,"e &lt; B/6 =&gt; Diagramme Trapézoïdal",IF($H$80&lt;$D$15/2,"e &gt; B/6 =&gt; Diagramme triangulaire","e ≥ B/2 : instable")))</f>
        <v>e &lt; B/6 =&gt; Diagramme Trapézoïdal</v>
      </c>
      <c r="F136" s="3">
        <f>IF($D$80&lt;=0,0,IF($H$80&lt;=$D$15/6+0.000001,$D$80/($D$15*$C$15)*(1+6*$H$80/$D$15),IF($H$80&lt;$D$15/2,2*$D$80/(3*$C$15*($D$15/2-$H$80)),1000000000)))/100</f>
        <v>0.65143468365953572</v>
      </c>
      <c r="G136" s="3">
        <f>IF($D$80&lt;=0,0,IF($H$80&lt;=$D$15/6+0.000001,$D$80/($D$15*$C$15)*(1-6*$H$80/$D$15),0))/100</f>
        <v>0.37287300864815653</v>
      </c>
      <c r="H136" s="10">
        <f>(3*$F$136+$G$136)/4</f>
        <v>0.58179426490669095</v>
      </c>
      <c r="I136" s="3">
        <f t="shared" si="5"/>
        <v>3</v>
      </c>
      <c r="J136" s="13">
        <f>$H$136/$I$136</f>
        <v>0.19393142163556365</v>
      </c>
      <c r="K136" s="9" t="str">
        <f>IF($H$136&lt;=$I$136+0.00001,"OK","NON OK")</f>
        <v>OK</v>
      </c>
    </row>
    <row r="137" spans="2:11" ht="15.75" x14ac:dyDescent="0.25">
      <c r="B137" s="7" t="s">
        <v>86</v>
      </c>
      <c r="C137" s="10">
        <f>$D$81</f>
        <v>86.554000000000002</v>
      </c>
      <c r="D137" s="5">
        <f>$H$81</f>
        <v>5.8922753425607127E-2</v>
      </c>
      <c r="E137" s="12" t="str">
        <f>IF($D$81&lt;=0,"N ≤ 0 : soulèvement",IF($H$81&lt;=$D$15/6+0.000001,"e &lt; B/6 =&gt; Diagramme Trapézoïdal",IF($H$81&lt;$D$15/2,"e &gt; B/6 =&gt; Diagramme triangulaire","e ≥ B/2 : instable")))</f>
        <v>e &lt; B/6 =&gt; Diagramme Trapézoïdal</v>
      </c>
      <c r="F137" s="3">
        <f>IF($D$81&lt;=0,0,IF($H$81&lt;=$D$15/6+0.000001,$D$81/($D$15*$C$15)*(1+6*$H$81/$D$15),IF($H$81&lt;$D$15/2,2*$D$81/(3*$C$15*($D$15/2-$H$81)),1000000000)))/100</f>
        <v>0.65143468365953572</v>
      </c>
      <c r="G137" s="3">
        <f>IF($D$81&lt;=0,0,IF($H$81&lt;=$D$15/6+0.000001,$D$81/($D$15*$C$15)*(1-6*$H$81/$D$15),0))/100</f>
        <v>0.37287300864815653</v>
      </c>
      <c r="H137" s="10">
        <f>(3*$F$137+$G$137)/4</f>
        <v>0.58179426490669095</v>
      </c>
      <c r="I137" s="3">
        <f t="shared" si="5"/>
        <v>3</v>
      </c>
      <c r="J137" s="13">
        <f>$H$137/$I$137</f>
        <v>0.19393142163556365</v>
      </c>
      <c r="K137" s="9" t="str">
        <f>IF($H$137&lt;=$I$137+0.00001,"OK","NON OK")</f>
        <v>OK</v>
      </c>
    </row>
    <row r="139" spans="2:11" ht="20.100000000000001" customHeight="1" x14ac:dyDescent="0.25">
      <c r="B139" s="28" t="s">
        <v>120</v>
      </c>
      <c r="C139" s="29"/>
      <c r="D139" s="29"/>
      <c r="E139" s="29"/>
      <c r="F139" s="29"/>
      <c r="G139" s="29"/>
      <c r="H139" s="29"/>
      <c r="I139" s="29"/>
      <c r="J139" s="29"/>
      <c r="K139" s="29"/>
    </row>
    <row r="140" spans="2:11" ht="30" customHeight="1" x14ac:dyDescent="0.25">
      <c r="B140" s="20" t="s">
        <v>121</v>
      </c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2:11" ht="32.1" customHeight="1" x14ac:dyDescent="0.25">
      <c r="B141" s="2" t="s">
        <v>51</v>
      </c>
      <c r="C141" s="2" t="s">
        <v>101</v>
      </c>
      <c r="D141" s="2" t="s">
        <v>122</v>
      </c>
      <c r="E141" s="2" t="s">
        <v>123</v>
      </c>
      <c r="F141" s="2" t="s">
        <v>124</v>
      </c>
      <c r="G141" s="2" t="s">
        <v>125</v>
      </c>
      <c r="H141" s="2" t="s">
        <v>40</v>
      </c>
    </row>
    <row r="142" spans="2:11" ht="15.75" x14ac:dyDescent="0.25">
      <c r="B142" s="7" t="s">
        <v>59</v>
      </c>
      <c r="C142" s="3">
        <v>1.35</v>
      </c>
      <c r="D142" s="10">
        <f>$E$23+$C$142*$F$53</f>
        <v>129.9819</v>
      </c>
      <c r="E142" s="3">
        <f>IF($D$142&lt;=0,0,IF(ABS($E$58)&lt;0.000001,999,$D$142*$C$15/2/ABS($E$58)))</f>
        <v>999</v>
      </c>
      <c r="F142" s="3">
        <f>IF($D$142&lt;=0,0,IF(ABS($F$58)&lt;0.000001,999,$D$142*$D$15/2/ABS($F$58)))</f>
        <v>12.271348583877996</v>
      </c>
      <c r="G142" s="3">
        <v>1.5</v>
      </c>
      <c r="H142" s="9" t="str">
        <f>IF(MIN($E$142,$F$142)&gt;=$G$142-0.00001,"OK","NON OK")</f>
        <v>OK</v>
      </c>
    </row>
    <row r="143" spans="2:11" ht="15.75" x14ac:dyDescent="0.25">
      <c r="B143" s="7" t="s">
        <v>62</v>
      </c>
      <c r="C143" s="3">
        <v>1.35</v>
      </c>
      <c r="D143" s="10">
        <f>$E$24+$C$143*$F$53</f>
        <v>117.98190000000001</v>
      </c>
      <c r="E143" s="3">
        <f>IF($D$143&lt;=0,0,IF(ABS($E$59)&lt;0.000001,999,$D$143*$C$15/2/ABS($E$59)))</f>
        <v>999</v>
      </c>
      <c r="F143" s="3">
        <f>IF($D$143&lt;=0,0,IF(ABS($F$59)&lt;0.000001,999,$D$143*$D$15/2/ABS($F$59)))</f>
        <v>11.138450980392157</v>
      </c>
      <c r="G143" s="3">
        <v>1.5</v>
      </c>
      <c r="H143" s="9" t="str">
        <f>IF(MIN($E$143,$F$143)&gt;=$G$143-0.00001,"OK","NON OK")</f>
        <v>OK</v>
      </c>
    </row>
    <row r="144" spans="2:11" ht="15.75" x14ac:dyDescent="0.25">
      <c r="B144" s="7" t="s">
        <v>63</v>
      </c>
      <c r="C144" s="3">
        <v>1.35</v>
      </c>
      <c r="D144" s="10">
        <f>$E$25+$C$144*$F$53</f>
        <v>72.98190000000001</v>
      </c>
      <c r="E144" s="3">
        <f>IF($D$144&lt;=0,0,IF(ABS($E$60)&lt;0.000001,999,$D$144*$C$15/2/ABS($E$60)))</f>
        <v>999</v>
      </c>
      <c r="F144" s="3">
        <f>IF($D$144&lt;=0,0,IF(ABS($F$60)&lt;0.000001,999,$D$144*$D$15/2/ABS($F$60)))</f>
        <v>2.95289355742297</v>
      </c>
      <c r="G144" s="3">
        <v>1.5</v>
      </c>
      <c r="H144" s="9" t="str">
        <f>IF(MIN($E$144,$F$144)&gt;=$G$144-0.00001,"OK","NON OK")</f>
        <v>OK</v>
      </c>
    </row>
    <row r="145" spans="2:8" ht="15.75" x14ac:dyDescent="0.25">
      <c r="B145" s="7" t="s">
        <v>64</v>
      </c>
      <c r="C145" s="3">
        <v>1.35</v>
      </c>
      <c r="D145" s="10">
        <f>$E$26+$C$145*$F$53</f>
        <v>117.98190000000001</v>
      </c>
      <c r="E145" s="3">
        <f>IF($D$145&lt;=0,0,IF(ABS($E$61)&lt;0.000001,999,$D$145*$C$15/2/ABS($E$61)))</f>
        <v>999</v>
      </c>
      <c r="F145" s="3">
        <f>IF($D$145&lt;=0,0,IF(ABS($F$61)&lt;0.000001,999,$D$145*$D$15/2/ABS($F$61)))</f>
        <v>11.138450980392157</v>
      </c>
      <c r="G145" s="3">
        <v>1.5</v>
      </c>
      <c r="H145" s="9" t="str">
        <f>IF(MIN($E$145,$F$145)&gt;=$G$145-0.00001,"OK","NON OK")</f>
        <v>OK</v>
      </c>
    </row>
    <row r="146" spans="2:8" ht="15.75" x14ac:dyDescent="0.25">
      <c r="B146" s="7" t="s">
        <v>65</v>
      </c>
      <c r="C146" s="3">
        <v>1</v>
      </c>
      <c r="D146" s="10">
        <f>$E$27+$C$146*$F$53</f>
        <v>42.394000000000005</v>
      </c>
      <c r="E146" s="3">
        <f>IF($D$146&lt;=0,0,IF(ABS($E$62)&lt;0.000001,999,$D$146*$C$15/2/ABS($E$62)))</f>
        <v>999</v>
      </c>
      <c r="F146" s="3">
        <f>IF($D$146&lt;=0,0,IF(ABS($F$62)&lt;0.000001,999,$D$146*$D$15/2/ABS($F$62)))</f>
        <v>1.5437591036414571</v>
      </c>
      <c r="G146" s="3">
        <v>1.5</v>
      </c>
      <c r="H146" s="9" t="str">
        <f>IF(MIN($E$146,$F$146)&gt;=$G$146-0.00001,"OK","NON OK")</f>
        <v>OK</v>
      </c>
    </row>
    <row r="147" spans="2:8" ht="15.75" x14ac:dyDescent="0.25">
      <c r="B147" s="7" t="s">
        <v>66</v>
      </c>
      <c r="C147" s="3">
        <v>1</v>
      </c>
      <c r="D147" s="10">
        <f>$E$28+$C$147*$F$53</f>
        <v>87.394000000000005</v>
      </c>
      <c r="E147" s="3">
        <f>IF($D$147&lt;=0,0,IF(ABS($E$63)&lt;0.000001,999,$D$147*$C$15/2/ABS($E$63)))</f>
        <v>999</v>
      </c>
      <c r="F147" s="3">
        <f>IF($D$147&lt;=0,0,IF(ABS($F$63)&lt;0.000001,999,$D$147*$D$15/2/ABS($F$63)))</f>
        <v>11.138450980392159</v>
      </c>
      <c r="G147" s="3">
        <v>1.5</v>
      </c>
      <c r="H147" s="9" t="str">
        <f>IF(MIN($E$147,$F$147)&gt;=$G$147-0.00001,"OK","NON OK")</f>
        <v>OK</v>
      </c>
    </row>
    <row r="148" spans="2:8" ht="15.75" x14ac:dyDescent="0.25">
      <c r="B148" s="7" t="s">
        <v>67</v>
      </c>
      <c r="C148" s="3">
        <v>1.35</v>
      </c>
      <c r="D148" s="10">
        <f>$E$29+$C$148*$F$53</f>
        <v>88.281900000000007</v>
      </c>
      <c r="E148" s="3">
        <f>IF($D$148&lt;=0,0,IF(ABS($E$64)&lt;0.000001,999,$D$148*$C$15/2/ABS($E$64)))</f>
        <v>999</v>
      </c>
      <c r="F148" s="3">
        <f>IF($D$148&lt;=0,0,IF(ABS($F$64)&lt;0.000001,999,$D$148*$D$15/2/ABS($F$64)))</f>
        <v>4.1672647058823538</v>
      </c>
      <c r="G148" s="3">
        <v>1.5</v>
      </c>
      <c r="H148" s="9" t="str">
        <f>IF(MIN($E$148,$F$148)&gt;=$G$148-0.00001,"OK","NON OK")</f>
        <v>OK</v>
      </c>
    </row>
    <row r="149" spans="2:8" ht="15.75" x14ac:dyDescent="0.25">
      <c r="B149" s="7" t="s">
        <v>68</v>
      </c>
      <c r="C149" s="3">
        <v>1.35</v>
      </c>
      <c r="D149" s="10">
        <f>$E$30+$C$149*$F$53</f>
        <v>128.78190000000001</v>
      </c>
      <c r="E149" s="3">
        <f>IF($D$149&lt;=0,0,IF(ABS($E$65)&lt;0.000001,999,$D$149*$C$15/2/ABS($E$65)))</f>
        <v>999</v>
      </c>
      <c r="F149" s="3">
        <f>IF($D$149&lt;=0,0,IF(ABS($F$65)&lt;0.000001,999,$D$149*$D$15/2/ABS($F$65)))</f>
        <v>12.158058823529412</v>
      </c>
      <c r="G149" s="3">
        <v>1.5</v>
      </c>
      <c r="H149" s="9" t="str">
        <f>IF(MIN($E$149,$F$149)&gt;=$G$149-0.00001,"OK","NON OK")</f>
        <v>OK</v>
      </c>
    </row>
    <row r="150" spans="2:8" ht="15.75" x14ac:dyDescent="0.25">
      <c r="B150" s="7" t="s">
        <v>69</v>
      </c>
      <c r="C150" s="3">
        <v>1.35</v>
      </c>
      <c r="D150" s="10">
        <f>$E$31+$C$150*$F$53</f>
        <v>77.48190000000001</v>
      </c>
      <c r="E150" s="3">
        <f>IF($D$150&lt;=0,0,IF(ABS($E$66)&lt;0.000001,999,$D$150*$C$15/2/ABS($E$66)))</f>
        <v>999</v>
      </c>
      <c r="F150" s="3">
        <f>IF($D$150&lt;=0,0,IF(ABS($F$66)&lt;0.000001,999,$D$150*$D$15/2/ABS($F$66)))</f>
        <v>3.6574607843137263</v>
      </c>
      <c r="G150" s="3">
        <v>1.5</v>
      </c>
      <c r="H150" s="9" t="str">
        <f>IF(MIN($E$150,$F$150)&gt;=$G$150-0.00001,"OK","NON OK")</f>
        <v>OK</v>
      </c>
    </row>
    <row r="151" spans="2:8" ht="15.75" x14ac:dyDescent="0.25">
      <c r="B151" s="7" t="s">
        <v>70</v>
      </c>
      <c r="C151" s="3">
        <v>1.35</v>
      </c>
      <c r="D151" s="10">
        <f>$E$32+$C$151*$F$53</f>
        <v>117.98190000000001</v>
      </c>
      <c r="E151" s="3">
        <f>IF($D$151&lt;=0,0,IF(ABS($E$67)&lt;0.000001,999,$D$151*$C$15/2/ABS($E$67)))</f>
        <v>999</v>
      </c>
      <c r="F151" s="3">
        <f>IF($D$151&lt;=0,0,IF(ABS($F$67)&lt;0.000001,999,$D$151*$D$15/2/ABS($F$67)))</f>
        <v>11.138450980392157</v>
      </c>
      <c r="G151" s="3">
        <v>1.5</v>
      </c>
      <c r="H151" s="9" t="str">
        <f>IF(MIN($E$151,$F$151)&gt;=$G$151-0.00001,"OK","NON OK")</f>
        <v>OK</v>
      </c>
    </row>
    <row r="152" spans="2:8" ht="15.75" x14ac:dyDescent="0.25">
      <c r="B152" s="7" t="s">
        <v>71</v>
      </c>
      <c r="C152" s="3">
        <v>1</v>
      </c>
      <c r="D152" s="10">
        <f>$E$33+$C$152*$F$53</f>
        <v>95.394000000000005</v>
      </c>
      <c r="E152" s="3">
        <f>IF($D$152&lt;=0,0,IF(ABS($E$68)&lt;0.000001,999,$D$152*$C$15/2/ABS($E$68)))</f>
        <v>999</v>
      </c>
      <c r="F152" s="3">
        <f>IF($D$152&lt;=0,0,IF(ABS($F$68)&lt;0.000001,999,$D$152*$D$15/2/ABS($F$68)))</f>
        <v>12.158058823529414</v>
      </c>
      <c r="G152" s="3">
        <v>1.5</v>
      </c>
      <c r="H152" s="9" t="str">
        <f>IF(MIN($E$152,$F$152)&gt;=$G$152-0.00001,"OK","NON OK")</f>
        <v>OK</v>
      </c>
    </row>
    <row r="153" spans="2:8" ht="15.75" x14ac:dyDescent="0.25">
      <c r="B153" s="7" t="s">
        <v>73</v>
      </c>
      <c r="C153" s="3">
        <v>1</v>
      </c>
      <c r="D153" s="10">
        <f>$E$34+$C$153*$F$53</f>
        <v>87.394000000000005</v>
      </c>
      <c r="E153" s="3">
        <f>IF($D$153&lt;=0,0,IF(ABS($E$69)&lt;0.000001,999,$D$153*$C$15/2/ABS($E$69)))</f>
        <v>999</v>
      </c>
      <c r="F153" s="3">
        <f>IF($D$153&lt;=0,0,IF(ABS($F$69)&lt;0.000001,999,$D$153*$D$15/2/ABS($F$69)))</f>
        <v>11.138450980392159</v>
      </c>
      <c r="G153" s="3">
        <v>1.5</v>
      </c>
      <c r="H153" s="9" t="str">
        <f>IF(MIN($E$153,$F$153)&gt;=$G$153-0.00001,"OK","NON OK")</f>
        <v>OK</v>
      </c>
    </row>
    <row r="154" spans="2:8" ht="15.75" x14ac:dyDescent="0.25">
      <c r="B154" s="7" t="s">
        <v>74</v>
      </c>
      <c r="C154" s="3">
        <v>1</v>
      </c>
      <c r="D154" s="10">
        <f>$E$35+$C$154*$F$53</f>
        <v>57.394000000000005</v>
      </c>
      <c r="E154" s="3">
        <f>IF($D$154&lt;=0,0,IF(ABS($E$70)&lt;0.000001,999,$D$154*$C$15/2/ABS($E$70)))</f>
        <v>999</v>
      </c>
      <c r="F154" s="3">
        <f>IF($D$154&lt;=0,0,IF(ABS($F$70)&lt;0.000001,999,$D$154*$D$15/2/ABS($F$70)))</f>
        <v>3.6574607843137263</v>
      </c>
      <c r="G154" s="3">
        <v>1.5</v>
      </c>
      <c r="H154" s="9" t="str">
        <f>IF(MIN($E$154,$F$154)&gt;=$G$154-0.00001,"OK","NON OK")</f>
        <v>OK</v>
      </c>
    </row>
    <row r="155" spans="2:8" ht="15.75" x14ac:dyDescent="0.25">
      <c r="B155" s="7" t="s">
        <v>75</v>
      </c>
      <c r="C155" s="3">
        <v>1</v>
      </c>
      <c r="D155" s="10">
        <f>$E$36+$C$155*$F$53</f>
        <v>87.394000000000005</v>
      </c>
      <c r="E155" s="3">
        <f>IF($D$155&lt;=0,0,IF(ABS($E$71)&lt;0.000001,999,$D$155*$C$15/2/ABS($E$71)))</f>
        <v>999</v>
      </c>
      <c r="F155" s="3">
        <f>IF($D$155&lt;=0,0,IF(ABS($F$71)&lt;0.000001,999,$D$155*$D$15/2/ABS($F$71)))</f>
        <v>11.138450980392159</v>
      </c>
      <c r="G155" s="3">
        <v>1.5</v>
      </c>
      <c r="H155" s="9" t="str">
        <f>IF(MIN($E$155,$F$155)&gt;=$G$155-0.00001,"OK","NON OK")</f>
        <v>OK</v>
      </c>
    </row>
    <row r="156" spans="2:8" ht="15.75" x14ac:dyDescent="0.25">
      <c r="B156" s="7" t="s">
        <v>76</v>
      </c>
      <c r="C156" s="3">
        <v>1</v>
      </c>
      <c r="D156" s="10">
        <f>$E$37+$C$156*$F$53</f>
        <v>67.594000000000008</v>
      </c>
      <c r="E156" s="3">
        <f>IF($D$156&lt;=0,0,IF(ABS($E$72)&lt;0.000001,999,$D$156*$C$15/2/ABS($E$72)))</f>
        <v>999</v>
      </c>
      <c r="F156" s="3">
        <f>IF($D$156&lt;=0,0,IF(ABS($F$72)&lt;0.000001,999,$D$156*$D$15/2/ABS($F$72)))</f>
        <v>5.0676009227220309</v>
      </c>
      <c r="G156" s="3">
        <v>1.5</v>
      </c>
      <c r="H156" s="9" t="str">
        <f>IF(MIN($E$156,$F$156)&gt;=$G$156-0.00001,"OK","NON OK")</f>
        <v>OK</v>
      </c>
    </row>
    <row r="157" spans="2:8" ht="15.75" x14ac:dyDescent="0.25">
      <c r="B157" s="7" t="s">
        <v>77</v>
      </c>
      <c r="C157" s="3">
        <v>1</v>
      </c>
      <c r="D157" s="10">
        <f>$E$38+$C$157*$F$53</f>
        <v>94.594000000000008</v>
      </c>
      <c r="E157" s="3">
        <f>IF($D$157&lt;=0,0,IF(ABS($E$73)&lt;0.000001,999,$D$157*$C$15/2/ABS($E$73)))</f>
        <v>999</v>
      </c>
      <c r="F157" s="3">
        <f>IF($D$157&lt;=0,0,IF(ABS($F$73)&lt;0.000001,999,$D$157*$D$15/2/ABS($F$73)))</f>
        <v>12.056098039215689</v>
      </c>
      <c r="G157" s="3">
        <v>1.5</v>
      </c>
      <c r="H157" s="9" t="str">
        <f>IF(MIN($E$157,$F$157)&gt;=$G$157-0.00001,"OK","NON OK")</f>
        <v>OK</v>
      </c>
    </row>
    <row r="158" spans="2:8" ht="15.75" x14ac:dyDescent="0.25">
      <c r="B158" s="7" t="s">
        <v>78</v>
      </c>
      <c r="C158" s="3">
        <v>1</v>
      </c>
      <c r="D158" s="10">
        <f>$E$39+$C$158*$F$53</f>
        <v>100.59400000000001</v>
      </c>
      <c r="E158" s="3">
        <f>IF($D$158&lt;=0,0,IF(ABS($E$74)&lt;0.000001,999,$D$158*$C$15/2/ABS($E$74)))</f>
        <v>1.7806672113289765</v>
      </c>
      <c r="F158" s="3">
        <f>IF($D$158&lt;=0,0,IF(ABS($F$74)&lt;0.000001,999,$D$158*$D$15/2/ABS($F$74)))</f>
        <v>12.820803921568631</v>
      </c>
      <c r="G158" s="3">
        <v>1.3</v>
      </c>
      <c r="H158" s="9" t="str">
        <f>IF(MIN($E$158,$F$158)&gt;=$G$158-0.00001,"OK","NON OK")</f>
        <v>OK</v>
      </c>
    </row>
    <row r="159" spans="2:8" ht="15.75" x14ac:dyDescent="0.25">
      <c r="B159" s="7" t="s">
        <v>80</v>
      </c>
      <c r="C159" s="3">
        <v>1</v>
      </c>
      <c r="D159" s="10">
        <f>$E$40+$C$159*$F$53</f>
        <v>100.59400000000001</v>
      </c>
      <c r="E159" s="3">
        <f>IF($D$159&lt;=0,0,IF(ABS($E$75)&lt;0.000001,999,$D$159*$C$15/2/ABS($E$75)))</f>
        <v>1.7806672113289765</v>
      </c>
      <c r="F159" s="3">
        <f>IF($D$159&lt;=0,0,IF(ABS($F$75)&lt;0.000001,999,$D$159*$D$15/2/ABS($F$75)))</f>
        <v>12.820803921568631</v>
      </c>
      <c r="G159" s="3">
        <v>1.3</v>
      </c>
      <c r="H159" s="9" t="str">
        <f>IF(MIN($E$159,$F$159)&gt;=$G$159-0.00001,"OK","NON OK")</f>
        <v>OK</v>
      </c>
    </row>
    <row r="160" spans="2:8" ht="15.75" x14ac:dyDescent="0.25">
      <c r="B160" s="7" t="s">
        <v>81</v>
      </c>
      <c r="C160" s="3">
        <v>1</v>
      </c>
      <c r="D160" s="10">
        <f>$E$41+$C$160*$F$53</f>
        <v>93.034000000000006</v>
      </c>
      <c r="E160" s="3">
        <f>IF($D$160&lt;=0,0,IF(ABS($E$76)&lt;0.000001,999,$D$160*$C$15/2/ABS($E$76)))</f>
        <v>5.4894789397240382</v>
      </c>
      <c r="F160" s="3">
        <f>IF($D$160&lt;=0,0,IF(ABS($F$76)&lt;0.000001,999,$D$160*$D$15/2/ABS($F$76)))</f>
        <v>11.857274509803924</v>
      </c>
      <c r="G160" s="3">
        <v>1.3</v>
      </c>
      <c r="H160" s="9" t="str">
        <f>IF(MIN($E$160,$F$160)&gt;=$G$160-0.00001,"OK","NON OK")</f>
        <v>OK</v>
      </c>
    </row>
    <row r="161" spans="2:11" ht="15.75" x14ac:dyDescent="0.25">
      <c r="B161" s="7" t="s">
        <v>82</v>
      </c>
      <c r="C161" s="3">
        <v>1</v>
      </c>
      <c r="D161" s="10">
        <f>$E$42+$C$161*$F$53</f>
        <v>93.034000000000006</v>
      </c>
      <c r="E161" s="3">
        <f>IF($D$161&lt;=0,0,IF(ABS($E$77)&lt;0.000001,999,$D$161*$C$15/2/ABS($E$77)))</f>
        <v>5.4894789397240382</v>
      </c>
      <c r="F161" s="3">
        <f>IF($D$161&lt;=0,0,IF(ABS($F$77)&lt;0.000001,999,$D$161*$D$15/2/ABS($F$77)))</f>
        <v>11.857274509803924</v>
      </c>
      <c r="G161" s="3">
        <v>1.3</v>
      </c>
      <c r="H161" s="9" t="str">
        <f>IF(MIN($E$161,$F$161)&gt;=$G$161-0.00001,"OK","NON OK")</f>
        <v>OK</v>
      </c>
    </row>
    <row r="162" spans="2:11" ht="15.75" x14ac:dyDescent="0.25">
      <c r="B162" s="7" t="s">
        <v>83</v>
      </c>
      <c r="C162" s="3">
        <v>1</v>
      </c>
      <c r="D162" s="10">
        <f>$E$43+$C$162*$F$53</f>
        <v>78.994</v>
      </c>
      <c r="E162" s="3">
        <f>IF($D$162&lt;=0,0,IF(ABS($E$78)&lt;0.000001,999,$D$162*$C$15/2/ABS($E$78)))</f>
        <v>1.3983142701525055</v>
      </c>
      <c r="F162" s="3">
        <f>IF($D$162&lt;=0,0,IF(ABS($F$78)&lt;0.000001,999,$D$162*$D$15/2/ABS($F$78)))</f>
        <v>10.06786274509804</v>
      </c>
      <c r="G162" s="3">
        <v>1.3</v>
      </c>
      <c r="H162" s="9" t="str">
        <f>IF(MIN($E$162,$F$162)&gt;=$G$162-0.00001,"OK","NON OK")</f>
        <v>OK</v>
      </c>
    </row>
    <row r="163" spans="2:11" ht="15.75" x14ac:dyDescent="0.25">
      <c r="B163" s="7" t="s">
        <v>84</v>
      </c>
      <c r="C163" s="3">
        <v>1</v>
      </c>
      <c r="D163" s="10">
        <f>$E$44+$C$163*$F$53</f>
        <v>78.994</v>
      </c>
      <c r="E163" s="3">
        <f>IF($D$163&lt;=0,0,IF(ABS($E$79)&lt;0.000001,999,$D$163*$C$15/2/ABS($E$79)))</f>
        <v>1.3983142701525055</v>
      </c>
      <c r="F163" s="3">
        <f>IF($D$163&lt;=0,0,IF(ABS($F$79)&lt;0.000001,999,$D$163*$D$15/2/ABS($F$79)))</f>
        <v>10.06786274509804</v>
      </c>
      <c r="G163" s="3">
        <v>1.3</v>
      </c>
      <c r="H163" s="9" t="str">
        <f>IF(MIN($E$163,$F$163)&gt;=$G$163-0.00001,"OK","NON OK")</f>
        <v>OK</v>
      </c>
    </row>
    <row r="164" spans="2:11" ht="15.75" x14ac:dyDescent="0.25">
      <c r="B164" s="7" t="s">
        <v>85</v>
      </c>
      <c r="C164" s="3">
        <v>1</v>
      </c>
      <c r="D164" s="10">
        <f>$E$45+$C$164*$F$53</f>
        <v>86.554000000000002</v>
      </c>
      <c r="E164" s="3">
        <f>IF($D$164&lt;=0,0,IF(ABS($E$80)&lt;0.000001,999,$D$164*$C$15/2/ABS($E$80)))</f>
        <v>5.1071259985475672</v>
      </c>
      <c r="F164" s="3">
        <f>IF($D$164&lt;=0,0,IF(ABS($F$80)&lt;0.000001,999,$D$164*$D$15/2/ABS($F$80)))</f>
        <v>11.031392156862745</v>
      </c>
      <c r="G164" s="3">
        <v>1.3</v>
      </c>
      <c r="H164" s="9" t="str">
        <f>IF(MIN($E$164,$F$164)&gt;=$G$164-0.00001,"OK","NON OK")</f>
        <v>OK</v>
      </c>
    </row>
    <row r="165" spans="2:11" ht="15.75" x14ac:dyDescent="0.25">
      <c r="B165" s="7" t="s">
        <v>86</v>
      </c>
      <c r="C165" s="3">
        <v>1</v>
      </c>
      <c r="D165" s="10">
        <f>$E$46+$C$165*$F$53</f>
        <v>86.554000000000002</v>
      </c>
      <c r="E165" s="3">
        <f>IF($D$165&lt;=0,0,IF(ABS($E$81)&lt;0.000001,999,$D$165*$C$15/2/ABS($E$81)))</f>
        <v>5.1071259985475672</v>
      </c>
      <c r="F165" s="3">
        <f>IF($D$165&lt;=0,0,IF(ABS($F$81)&lt;0.000001,999,$D$165*$D$15/2/ABS($F$81)))</f>
        <v>11.031392156862745</v>
      </c>
      <c r="G165" s="3">
        <v>1.3</v>
      </c>
      <c r="H165" s="9" t="str">
        <f>IF(MIN($E$165,$F$165)&gt;=$G$165-0.00001,"OK","NON OK")</f>
        <v>OK</v>
      </c>
    </row>
    <row r="167" spans="2:11" ht="20.100000000000001" customHeight="1" x14ac:dyDescent="0.25">
      <c r="B167" s="28" t="s">
        <v>126</v>
      </c>
      <c r="C167" s="29"/>
      <c r="D167" s="29"/>
      <c r="E167" s="29"/>
      <c r="F167" s="29"/>
      <c r="G167" s="29"/>
      <c r="H167" s="29"/>
      <c r="I167" s="29"/>
      <c r="J167" s="29"/>
      <c r="K167" s="29"/>
    </row>
    <row r="168" spans="2:11" ht="30" customHeight="1" x14ac:dyDescent="0.25">
      <c r="B168" s="20" t="s">
        <v>127</v>
      </c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2:11" ht="32.1" customHeight="1" x14ac:dyDescent="0.25">
      <c r="B169" s="2" t="s">
        <v>51</v>
      </c>
      <c r="C169" s="2" t="s">
        <v>128</v>
      </c>
      <c r="D169" s="2" t="s">
        <v>129</v>
      </c>
      <c r="E169" s="2" t="s">
        <v>130</v>
      </c>
      <c r="F169" s="2" t="s">
        <v>131</v>
      </c>
      <c r="G169" s="2" t="s">
        <v>132</v>
      </c>
      <c r="H169" s="2" t="s">
        <v>133</v>
      </c>
      <c r="I169" s="2" t="s">
        <v>125</v>
      </c>
      <c r="J169" s="2" t="s">
        <v>40</v>
      </c>
    </row>
    <row r="170" spans="2:11" ht="15.75" x14ac:dyDescent="0.25">
      <c r="B170" s="7" t="s">
        <v>59</v>
      </c>
      <c r="C170" s="3">
        <f>SQRT($H$23^2+$I$23^2)</f>
        <v>4.05</v>
      </c>
      <c r="D170" s="10">
        <f>$E$23+1.35*$F$53</f>
        <v>129.9819</v>
      </c>
      <c r="E170" s="5">
        <f>IF($D$170&lt;=0,0,IF(ABS($E$58)/$D$170&lt;=$C$15/6+0.000001,$C$15,MIN(3*($C$15/2-ABS($E$58)/$D$170),$C$15)))</f>
        <v>1.3</v>
      </c>
      <c r="F170" s="5">
        <f>IF($D$170&lt;=0,0,IF(ABS($F$58)/$D$170&lt;=$D$15/6+0.000001,$D$15,MIN(3*($D$15/2-ABS($F$58)/$D$170),$D$15)))</f>
        <v>1.3</v>
      </c>
      <c r="G170" s="3">
        <f>MAX($D$170,0)*TAN(RADIANS($J$6))+$K$6*$E$170*$F$170</f>
        <v>69.112602175279164</v>
      </c>
      <c r="H170" s="3">
        <f>$G$170/$C$170</f>
        <v>17.064840043278807</v>
      </c>
      <c r="I170" s="3">
        <v>1.5</v>
      </c>
      <c r="J170" s="9" t="str">
        <f>IF($H$170&gt;=$I$170-0.00001,"OK","NON OK")</f>
        <v>OK</v>
      </c>
    </row>
    <row r="171" spans="2:11" ht="15.75" x14ac:dyDescent="0.25">
      <c r="B171" s="7" t="s">
        <v>62</v>
      </c>
      <c r="C171" s="3">
        <f>SQRT($H$24^2+$I$24^2)</f>
        <v>4.05</v>
      </c>
      <c r="D171" s="10">
        <f>$E$24+1.35*$F$53</f>
        <v>117.98190000000001</v>
      </c>
      <c r="E171" s="5">
        <f>IF($D$171&lt;=0,0,IF(ABS($E$59)/$D$171&lt;=$C$15/6+0.000001,$C$15,MIN(3*($C$15/2-ABS($E$59)/$D$171),$C$15)))</f>
        <v>1.3</v>
      </c>
      <c r="F171" s="5">
        <f>IF($D$171&lt;=0,0,IF(ABS($F$59)/$D$171&lt;=$D$15/6+0.000001,$D$15,MIN(3*($D$15/2-ABS($F$59)/$D$171),$D$15)))</f>
        <v>1.3</v>
      </c>
      <c r="G171" s="3">
        <f>MAX($D$171,0)*TAN(RADIANS($J$6))+$K$6*$E$171*$F$171</f>
        <v>62.732088995341428</v>
      </c>
      <c r="H171" s="3">
        <f>$G$171/$C$171</f>
        <v>15.489404690207762</v>
      </c>
      <c r="I171" s="3">
        <v>1.5</v>
      </c>
      <c r="J171" s="9" t="str">
        <f>IF($H$171&gt;=$I$171-0.00001,"OK","NON OK")</f>
        <v>OK</v>
      </c>
    </row>
    <row r="172" spans="2:11" ht="15.75" x14ac:dyDescent="0.25">
      <c r="B172" s="7" t="s">
        <v>63</v>
      </c>
      <c r="C172" s="3">
        <f>SQRT($H$25^2+$I$25^2)</f>
        <v>9.4499999999999993</v>
      </c>
      <c r="D172" s="10">
        <f>$E$25+1.35*$F$53</f>
        <v>72.98190000000001</v>
      </c>
      <c r="E172" s="5">
        <f>IF($D$172&lt;=0,0,IF(ABS($E$60)/$D$172&lt;=$C$15/6+0.000001,$C$15,MIN(3*($C$15/2-ABS($E$60)/$D$172),$C$15)))</f>
        <v>1.3</v>
      </c>
      <c r="F172" s="5">
        <f>IF($D$172&lt;=0,0,IF(ABS($F$60)/$D$172&lt;=$D$15/6+0.000001,$D$15,MIN(3*($D$15/2-ABS($F$60)/$D$172),$D$15)))</f>
        <v>1.2896307851672817</v>
      </c>
      <c r="G172" s="3">
        <f>MAX($D$172,0)*TAN(RADIANS($J$6))+$K$6*$E$172*$F$172</f>
        <v>38.805164570574881</v>
      </c>
      <c r="H172" s="3">
        <f>$G$172/$C$172</f>
        <v>4.1063666212248551</v>
      </c>
      <c r="I172" s="3">
        <v>1.5</v>
      </c>
      <c r="J172" s="9" t="str">
        <f>IF($H$172&gt;=$I$172-0.00001,"OK","NON OK")</f>
        <v>OK</v>
      </c>
    </row>
    <row r="173" spans="2:11" ht="15.75" x14ac:dyDescent="0.25">
      <c r="B173" s="7" t="s">
        <v>64</v>
      </c>
      <c r="C173" s="3">
        <f>SQRT($H$26^2+$I$26^2)</f>
        <v>4.05</v>
      </c>
      <c r="D173" s="10">
        <f>$E$26+1.35*$F$53</f>
        <v>117.98190000000001</v>
      </c>
      <c r="E173" s="5">
        <f>IF($D$173&lt;=0,0,IF(ABS($E$61)/$D$173&lt;=$C$15/6+0.000001,$C$15,MIN(3*($C$15/2-ABS($E$61)/$D$173),$C$15)))</f>
        <v>1.3</v>
      </c>
      <c r="F173" s="5">
        <f>IF($D$173&lt;=0,0,IF(ABS($F$61)/$D$173&lt;=$D$15/6+0.000001,$D$15,MIN(3*($D$15/2-ABS($F$61)/$D$173),$D$15)))</f>
        <v>1.3</v>
      </c>
      <c r="G173" s="3">
        <f>MAX($D$173,0)*TAN(RADIANS($J$6))+$K$6*$E$173*$F$173</f>
        <v>62.732088995341428</v>
      </c>
      <c r="H173" s="3">
        <f>$G$173/$C$173</f>
        <v>15.489404690207762</v>
      </c>
      <c r="I173" s="3">
        <v>1.5</v>
      </c>
      <c r="J173" s="9" t="str">
        <f>IF($H$173&gt;=$I$173-0.00001,"OK","NON OK")</f>
        <v>OK</v>
      </c>
    </row>
    <row r="174" spans="2:11" ht="15.75" x14ac:dyDescent="0.25">
      <c r="B174" s="7" t="s">
        <v>65</v>
      </c>
      <c r="C174" s="3">
        <f>SQRT($H$27^2+$I$27^2)</f>
        <v>10.5</v>
      </c>
      <c r="D174" s="10">
        <f>$E$27+1*$F$53</f>
        <v>42.394000000000005</v>
      </c>
      <c r="E174" s="5">
        <f>IF($D$174&lt;=0,0,IF(ABS($E$62)/$D$174&lt;=$C$15/6+0.000001,$C$15,MIN(3*($C$15/2-ABS($E$62)/$D$174),$C$15)))</f>
        <v>1.3</v>
      </c>
      <c r="F174" s="5">
        <f>IF($D$174&lt;=0,0,IF(ABS($F$62)/$D$174&lt;=$D$15/6+0.000001,$D$15,MIN(3*($D$15/2-ABS($F$62)/$D$174),$D$15)))</f>
        <v>0.68684955418219595</v>
      </c>
      <c r="G174" s="3">
        <f>MAX($D$174,0)*TAN(RADIANS($J$6))+$K$6*$E$174*$F$174</f>
        <v>22.541289645856732</v>
      </c>
      <c r="H174" s="3">
        <f>$G$174/$C$174</f>
        <v>2.1467894900815936</v>
      </c>
      <c r="I174" s="3">
        <v>1.5</v>
      </c>
      <c r="J174" s="9" t="str">
        <f>IF($H$174&gt;=$I$174-0.00001,"OK","NON OK")</f>
        <v>OK</v>
      </c>
    </row>
    <row r="175" spans="2:11" ht="15.75" x14ac:dyDescent="0.25">
      <c r="B175" s="7" t="s">
        <v>66</v>
      </c>
      <c r="C175" s="3">
        <f>SQRT($H$28^2+$I$28^2)</f>
        <v>3</v>
      </c>
      <c r="D175" s="10">
        <f>$E$28+1*$F$53</f>
        <v>87.394000000000005</v>
      </c>
      <c r="E175" s="5">
        <f>IF($D$175&lt;=0,0,IF(ABS($E$63)/$D$175&lt;=$C$15/6+0.000001,$C$15,MIN(3*($C$15/2-ABS($E$63)/$D$175),$C$15)))</f>
        <v>1.3</v>
      </c>
      <c r="F175" s="5">
        <f>IF($D$175&lt;=0,0,IF(ABS($F$63)/$D$175&lt;=$D$15/6+0.000001,$D$15,MIN(3*($D$15/2-ABS($F$63)/$D$175),$D$15)))</f>
        <v>1.3</v>
      </c>
      <c r="G175" s="3">
        <f>MAX($D$175,0)*TAN(RADIANS($J$6))+$K$6*$E$175*$F$175</f>
        <v>46.468214070623276</v>
      </c>
      <c r="H175" s="3">
        <f>$G$175/$C$175</f>
        <v>15.489404690207758</v>
      </c>
      <c r="I175" s="3">
        <v>1.5</v>
      </c>
      <c r="J175" s="9" t="str">
        <f>IF($H$175&gt;=$I$175-0.00001,"OK","NON OK")</f>
        <v>OK</v>
      </c>
    </row>
    <row r="176" spans="2:11" ht="15.75" x14ac:dyDescent="0.25">
      <c r="B176" s="7" t="s">
        <v>67</v>
      </c>
      <c r="C176" s="3">
        <f>SQRT($H$29^2+$I$29^2)</f>
        <v>8.1</v>
      </c>
      <c r="D176" s="10">
        <f>$E$29+1.35*$F$53</f>
        <v>88.281900000000007</v>
      </c>
      <c r="E176" s="5">
        <f>IF($D$176&lt;=0,0,IF(ABS($E$64)/$D$176&lt;=$C$15/6+0.000001,$C$15,MIN(3*($C$15/2-ABS($E$64)/$D$176),$C$15)))</f>
        <v>1.3</v>
      </c>
      <c r="F176" s="5">
        <f>IF($D$176&lt;=0,0,IF(ABS($F$64)/$D$176&lt;=$D$15/6+0.000001,$D$15,MIN(3*($D$15/2-ABS($F$64)/$D$176),$D$15)))</f>
        <v>1.3</v>
      </c>
      <c r="G176" s="3">
        <f>MAX($D$176,0)*TAN(RADIANS($J$6))+$K$6*$E$176*$F$176</f>
        <v>46.940318874995505</v>
      </c>
      <c r="H176" s="3">
        <f>$G$176/$C$176</f>
        <v>5.7951010956784579</v>
      </c>
      <c r="I176" s="3">
        <v>1.5</v>
      </c>
      <c r="J176" s="9" t="str">
        <f>IF($H$176&gt;=$I$176-0.00001,"OK","NON OK")</f>
        <v>OK</v>
      </c>
    </row>
    <row r="177" spans="2:10" ht="15.75" x14ac:dyDescent="0.25">
      <c r="B177" s="7" t="s">
        <v>68</v>
      </c>
      <c r="C177" s="3">
        <f>SQRT($H$30^2+$I$30^2)</f>
        <v>4.05</v>
      </c>
      <c r="D177" s="10">
        <f>$E$30+1.35*$F$53</f>
        <v>128.78190000000001</v>
      </c>
      <c r="E177" s="5">
        <f>IF($D$177&lt;=0,0,IF(ABS($E$65)/$D$177&lt;=$C$15/6+0.000001,$C$15,MIN(3*($C$15/2-ABS($E$65)/$D$177),$C$15)))</f>
        <v>1.3</v>
      </c>
      <c r="F177" s="5">
        <f>IF($D$177&lt;=0,0,IF(ABS($F$65)/$D$177&lt;=$D$15/6+0.000001,$D$15,MIN(3*($D$15/2-ABS($F$65)/$D$177),$D$15)))</f>
        <v>1.3</v>
      </c>
      <c r="G177" s="3">
        <f>MAX($D$177,0)*TAN(RADIANS($J$6))+$K$6*$E$177*$F$177</f>
        <v>68.474550857285394</v>
      </c>
      <c r="H177" s="3">
        <f>$G$177/$C$177</f>
        <v>16.907296507971704</v>
      </c>
      <c r="I177" s="3">
        <v>1.5</v>
      </c>
      <c r="J177" s="9" t="str">
        <f>IF($H$177&gt;=$I$177-0.00001,"OK","NON OK")</f>
        <v>OK</v>
      </c>
    </row>
    <row r="178" spans="2:10" ht="15.75" x14ac:dyDescent="0.25">
      <c r="B178" s="7" t="s">
        <v>69</v>
      </c>
      <c r="C178" s="3">
        <f>SQRT($H$31^2+$I$31^2)</f>
        <v>8.1</v>
      </c>
      <c r="D178" s="10">
        <f>$E$31+1.35*$F$53</f>
        <v>77.48190000000001</v>
      </c>
      <c r="E178" s="5">
        <f>IF($D$178&lt;=0,0,IF(ABS($E$66)/$D$178&lt;=$C$15/6+0.000001,$C$15,MIN(3*($C$15/2-ABS($E$66)/$D$178),$C$15)))</f>
        <v>1.3</v>
      </c>
      <c r="F178" s="5">
        <f>IF($D$178&lt;=0,0,IF(ABS($F$66)/$D$178&lt;=$D$15/6+0.000001,$D$15,MIN(3*($D$15/2-ABS($F$66)/$D$178),$D$15)))</f>
        <v>1.3</v>
      </c>
      <c r="G178" s="3">
        <f>MAX($D$178,0)*TAN(RADIANS($J$6))+$K$6*$E$178*$F$178</f>
        <v>41.197857013051539</v>
      </c>
      <c r="H178" s="3">
        <f>$G$178/$C$178</f>
        <v>5.0861551867964865</v>
      </c>
      <c r="I178" s="3">
        <v>1.5</v>
      </c>
      <c r="J178" s="9" t="str">
        <f>IF($H$178&gt;=$I$178-0.00001,"OK","NON OK")</f>
        <v>OK</v>
      </c>
    </row>
    <row r="179" spans="2:10" ht="15.75" x14ac:dyDescent="0.25">
      <c r="B179" s="7" t="s">
        <v>70</v>
      </c>
      <c r="C179" s="3">
        <f>SQRT($H$32^2+$I$32^2)</f>
        <v>4.05</v>
      </c>
      <c r="D179" s="10">
        <f>$E$32+1.35*$F$53</f>
        <v>117.98190000000001</v>
      </c>
      <c r="E179" s="5">
        <f>IF($D$179&lt;=0,0,IF(ABS($E$67)/$D$179&lt;=$C$15/6+0.000001,$C$15,MIN(3*($C$15/2-ABS($E$67)/$D$179),$C$15)))</f>
        <v>1.3</v>
      </c>
      <c r="F179" s="5">
        <f>IF($D$179&lt;=0,0,IF(ABS($F$67)/$D$179&lt;=$D$15/6+0.000001,$D$15,MIN(3*($D$15/2-ABS($F$67)/$D$179),$D$15)))</f>
        <v>1.3</v>
      </c>
      <c r="G179" s="3">
        <f>MAX($D$179,0)*TAN(RADIANS($J$6))+$K$6*$E$179*$F$179</f>
        <v>62.732088995341428</v>
      </c>
      <c r="H179" s="3">
        <f>$G$179/$C$179</f>
        <v>15.489404690207762</v>
      </c>
      <c r="I179" s="3">
        <v>1.5</v>
      </c>
      <c r="J179" s="9" t="str">
        <f>IF($H$179&gt;=$I$179-0.00001,"OK","NON OK")</f>
        <v>OK</v>
      </c>
    </row>
    <row r="180" spans="2:10" ht="15.75" x14ac:dyDescent="0.25">
      <c r="B180" s="7" t="s">
        <v>71</v>
      </c>
      <c r="C180" s="3">
        <f>SQRT($H$33^2+$I$33^2)</f>
        <v>3</v>
      </c>
      <c r="D180" s="10">
        <f>$E$33+1*$F$53</f>
        <v>95.394000000000005</v>
      </c>
      <c r="E180" s="5">
        <f>IF($D$180&lt;=0,0,IF(ABS($E$68)/$D$180&lt;=$C$15/6+0.000001,$C$15,MIN(3*($C$15/2-ABS($E$68)/$D$180),$C$15)))</f>
        <v>1.3</v>
      </c>
      <c r="F180" s="5">
        <f>IF($D$180&lt;=0,0,IF(ABS($F$68)/$D$180&lt;=$D$15/6+0.000001,$D$15,MIN(3*($D$15/2-ABS($F$68)/$D$180),$D$15)))</f>
        <v>1.3</v>
      </c>
      <c r="G180" s="3">
        <f>MAX($D$180,0)*TAN(RADIANS($J$6))+$K$6*$E$180*$F$180</f>
        <v>50.72188952391511</v>
      </c>
      <c r="H180" s="3">
        <f>$G$180/$C$180</f>
        <v>16.907296507971704</v>
      </c>
      <c r="I180" s="3">
        <v>1.5</v>
      </c>
      <c r="J180" s="9" t="str">
        <f>IF($H$180&gt;=$I$180-0.00001,"OK","NON OK")</f>
        <v>OK</v>
      </c>
    </row>
    <row r="181" spans="2:10" ht="15.75" x14ac:dyDescent="0.25">
      <c r="B181" s="7" t="s">
        <v>73</v>
      </c>
      <c r="C181" s="3">
        <f>SQRT($H$34^2+$I$34^2)</f>
        <v>3</v>
      </c>
      <c r="D181" s="10">
        <f>$E$34+1*$F$53</f>
        <v>87.394000000000005</v>
      </c>
      <c r="E181" s="5">
        <f>IF($D$181&lt;=0,0,IF(ABS($E$69)/$D$181&lt;=$C$15/6+0.000001,$C$15,MIN(3*($C$15/2-ABS($E$69)/$D$181),$C$15)))</f>
        <v>1.3</v>
      </c>
      <c r="F181" s="5">
        <f>IF($D$181&lt;=0,0,IF(ABS($F$69)/$D$181&lt;=$D$15/6+0.000001,$D$15,MIN(3*($D$15/2-ABS($F$69)/$D$181),$D$15)))</f>
        <v>1.3</v>
      </c>
      <c r="G181" s="3">
        <f>MAX($D$181,0)*TAN(RADIANS($J$6))+$K$6*$E$181*$F$181</f>
        <v>46.468214070623276</v>
      </c>
      <c r="H181" s="3">
        <f>$G$181/$C$181</f>
        <v>15.489404690207758</v>
      </c>
      <c r="I181" s="3">
        <v>1.5</v>
      </c>
      <c r="J181" s="9" t="str">
        <f>IF($H$181&gt;=$I$181-0.00001,"OK","NON OK")</f>
        <v>OK</v>
      </c>
    </row>
    <row r="182" spans="2:10" ht="15.75" x14ac:dyDescent="0.25">
      <c r="B182" s="7" t="s">
        <v>74</v>
      </c>
      <c r="C182" s="3">
        <f>SQRT($H$35^2+$I$35^2)</f>
        <v>6</v>
      </c>
      <c r="D182" s="10">
        <f>$E$35+1*$F$53</f>
        <v>57.394000000000005</v>
      </c>
      <c r="E182" s="5">
        <f>IF($D$182&lt;=0,0,IF(ABS($E$70)/$D$182&lt;=$C$15/6+0.000001,$C$15,MIN(3*($C$15/2-ABS($E$70)/$D$182),$C$15)))</f>
        <v>1.3</v>
      </c>
      <c r="F182" s="5">
        <f>IF($D$182&lt;=0,0,IF(ABS($F$70)/$D$182&lt;=$D$15/6+0.000001,$D$15,MIN(3*($D$15/2-ABS($F$70)/$D$182),$D$15)))</f>
        <v>1.3</v>
      </c>
      <c r="G182" s="3">
        <f>MAX($D$182,0)*TAN(RADIANS($J$6))+$K$6*$E$182*$F$182</f>
        <v>30.516931120778917</v>
      </c>
      <c r="H182" s="3">
        <f>$G$182/$C$182</f>
        <v>5.0861551867964865</v>
      </c>
      <c r="I182" s="3">
        <v>1.5</v>
      </c>
      <c r="J182" s="9" t="str">
        <f>IF($H$182&gt;=$I$182-0.00001,"OK","NON OK")</f>
        <v>OK</v>
      </c>
    </row>
    <row r="183" spans="2:10" ht="15.75" x14ac:dyDescent="0.25">
      <c r="B183" s="7" t="s">
        <v>75</v>
      </c>
      <c r="C183" s="3">
        <f>SQRT($H$36^2+$I$36^2)</f>
        <v>3</v>
      </c>
      <c r="D183" s="10">
        <f>$E$36+1*$F$53</f>
        <v>87.394000000000005</v>
      </c>
      <c r="E183" s="5">
        <f>IF($D$183&lt;=0,0,IF(ABS($E$71)/$D$183&lt;=$C$15/6+0.000001,$C$15,MIN(3*($C$15/2-ABS($E$71)/$D$183),$C$15)))</f>
        <v>1.3</v>
      </c>
      <c r="F183" s="5">
        <f>IF($D$183&lt;=0,0,IF(ABS($F$71)/$D$183&lt;=$D$15/6+0.000001,$D$15,MIN(3*($D$15/2-ABS($F$71)/$D$183),$D$15)))</f>
        <v>1.3</v>
      </c>
      <c r="G183" s="3">
        <f>MAX($D$183,0)*TAN(RADIANS($J$6))+$K$6*$E$183*$F$183</f>
        <v>46.468214070623276</v>
      </c>
      <c r="H183" s="3">
        <f>$G$183/$C$183</f>
        <v>15.489404690207758</v>
      </c>
      <c r="I183" s="3">
        <v>1.5</v>
      </c>
      <c r="J183" s="9" t="str">
        <f>IF($H$183&gt;=$I$183-0.00001,"OK","NON OK")</f>
        <v>OK</v>
      </c>
    </row>
    <row r="184" spans="2:10" ht="15.75" x14ac:dyDescent="0.25">
      <c r="B184" s="7" t="s">
        <v>76</v>
      </c>
      <c r="C184" s="3">
        <f>SQRT($H$37^2+$I$37^2)</f>
        <v>5.0999999999999996</v>
      </c>
      <c r="D184" s="10">
        <f>$E$37+1*$F$53</f>
        <v>67.594000000000008</v>
      </c>
      <c r="E184" s="5">
        <f>IF($D$184&lt;=0,0,IF(ABS($E$72)/$D$184&lt;=$C$15/6+0.000001,$C$15,MIN(3*($C$15/2-ABS($E$72)/$D$184),$C$15)))</f>
        <v>1.3</v>
      </c>
      <c r="F184" s="5">
        <f>IF($D$184&lt;=0,0,IF(ABS($F$72)/$D$184&lt;=$D$15/6+0.000001,$D$15,MIN(3*($D$15/2-ABS($F$72)/$D$184),$D$15)))</f>
        <v>1.3</v>
      </c>
      <c r="G184" s="3">
        <f>MAX($D$184,0)*TAN(RADIANS($J$6))+$K$6*$E$184*$F$184</f>
        <v>35.940367323726001</v>
      </c>
      <c r="H184" s="3">
        <f>$G$184/$C$184</f>
        <v>7.0471308477894121</v>
      </c>
      <c r="I184" s="3">
        <v>1.5</v>
      </c>
      <c r="J184" s="9" t="str">
        <f>IF($H$184&gt;=$I$184-0.00001,"OK","NON OK")</f>
        <v>OK</v>
      </c>
    </row>
    <row r="185" spans="2:10" ht="15.75" x14ac:dyDescent="0.25">
      <c r="B185" s="7" t="s">
        <v>77</v>
      </c>
      <c r="C185" s="3">
        <f>SQRT($H$38^2+$I$38^2)</f>
        <v>3</v>
      </c>
      <c r="D185" s="10">
        <f>$E$38+1*$F$53</f>
        <v>94.594000000000008</v>
      </c>
      <c r="E185" s="5">
        <f>IF($D$185&lt;=0,0,IF(ABS($E$73)/$D$185&lt;=$C$15/6+0.000001,$C$15,MIN(3*($C$15/2-ABS($E$73)/$D$185),$C$15)))</f>
        <v>1.3</v>
      </c>
      <c r="F185" s="5">
        <f>IF($D$185&lt;=0,0,IF(ABS($F$73)/$D$185&lt;=$D$15/6+0.000001,$D$15,MIN(3*($D$15/2-ABS($F$73)/$D$185),$D$15)))</f>
        <v>1.3</v>
      </c>
      <c r="G185" s="3">
        <f>MAX($D$185,0)*TAN(RADIANS($J$6))+$K$6*$E$185*$F$185</f>
        <v>50.296521978585929</v>
      </c>
      <c r="H185" s="3">
        <f>$G$185/$C$185</f>
        <v>16.765507326195308</v>
      </c>
      <c r="I185" s="3">
        <v>1.5</v>
      </c>
      <c r="J185" s="9" t="str">
        <f>IF($H$185&gt;=$I$185-0.00001,"OK","NON OK")</f>
        <v>OK</v>
      </c>
    </row>
    <row r="186" spans="2:10" ht="15.75" x14ac:dyDescent="0.25">
      <c r="B186" s="7" t="s">
        <v>78</v>
      </c>
      <c r="C186" s="3">
        <f>SQRT($H$39^2+$I$39^2)</f>
        <v>21.807338214463499</v>
      </c>
      <c r="D186" s="10">
        <f>$E$39+1*$F$53</f>
        <v>100.59400000000001</v>
      </c>
      <c r="E186" s="5">
        <f>IF($D$186&lt;=0,0,IF(ABS($E$74)/$D$186&lt;=$C$15/6+0.000001,$C$15,MIN(3*($C$15/2-ABS($E$74)/$D$186),$C$15)))</f>
        <v>0.85490486510129848</v>
      </c>
      <c r="F186" s="5">
        <f>IF($D$186&lt;=0,0,IF(ABS($F$74)/$D$186&lt;=$D$15/6+0.000001,$D$15,MIN(3*($D$15/2-ABS($F$74)/$D$186),$D$15)))</f>
        <v>1.3</v>
      </c>
      <c r="G186" s="3">
        <f>MAX($D$186,0)*TAN(RADIANS($J$6))+$K$6*$E$186*$F$186</f>
        <v>53.486778568554797</v>
      </c>
      <c r="H186" s="3">
        <f>$G$186/$C$186</f>
        <v>2.4526963374686521</v>
      </c>
      <c r="I186" s="3">
        <v>1.25</v>
      </c>
      <c r="J186" s="9" t="str">
        <f>IF($H$186&gt;=$I$186-0.00001,"OK","NON OK")</f>
        <v>OK</v>
      </c>
    </row>
    <row r="187" spans="2:10" ht="15.75" x14ac:dyDescent="0.25">
      <c r="B187" s="7" t="s">
        <v>80</v>
      </c>
      <c r="C187" s="3">
        <f>SQRT($H$40^2+$I$40^2)</f>
        <v>21.807338214463499</v>
      </c>
      <c r="D187" s="10">
        <f>$E$40+1*$F$53</f>
        <v>100.59400000000001</v>
      </c>
      <c r="E187" s="5">
        <f>IF($D$187&lt;=0,0,IF(ABS($E$75)/$D$187&lt;=$C$15/6+0.000001,$C$15,MIN(3*($C$15/2-ABS($E$75)/$D$187),$C$15)))</f>
        <v>0.85490486510129848</v>
      </c>
      <c r="F187" s="5">
        <f>IF($D$187&lt;=0,0,IF(ABS($F$75)/$D$187&lt;=$D$15/6+0.000001,$D$15,MIN(3*($D$15/2-ABS($F$75)/$D$187),$D$15)))</f>
        <v>1.3</v>
      </c>
      <c r="G187" s="3">
        <f>MAX($D$187,0)*TAN(RADIANS($J$6))+$K$6*$E$187*$F$187</f>
        <v>53.486778568554797</v>
      </c>
      <c r="H187" s="3">
        <f>$G$187/$C$187</f>
        <v>2.4526963374686521</v>
      </c>
      <c r="I187" s="3">
        <v>1.25</v>
      </c>
      <c r="J187" s="9" t="str">
        <f>IF($H$187&gt;=$I$187-0.00001,"OK","NON OK")</f>
        <v>OK</v>
      </c>
    </row>
    <row r="188" spans="2:10" ht="15.75" x14ac:dyDescent="0.25">
      <c r="B188" s="7" t="s">
        <v>81</v>
      </c>
      <c r="C188" s="3">
        <f>SQRT($H$41^2+$I$41^2)</f>
        <v>7.1407562624696839</v>
      </c>
      <c r="D188" s="10">
        <f>$E$41+1*$F$53</f>
        <v>93.034000000000006</v>
      </c>
      <c r="E188" s="5">
        <f>IF($D$188&lt;=0,0,IF(ABS($E$76)/$D$188&lt;=$C$15/6+0.000001,$C$15,MIN(3*($C$15/2-ABS($E$76)/$D$188),$C$15)))</f>
        <v>1.3</v>
      </c>
      <c r="F188" s="5">
        <f>IF($D$188&lt;=0,0,IF(ABS($F$76)/$D$188&lt;=$D$15/6+0.000001,$D$15,MIN(3*($D$15/2-ABS($F$76)/$D$188),$D$15)))</f>
        <v>1.3</v>
      </c>
      <c r="G188" s="3">
        <f>MAX($D$188,0)*TAN(RADIANS($J$6))+$K$6*$E$188*$F$188</f>
        <v>49.46705526519402</v>
      </c>
      <c r="H188" s="3">
        <f>$G$188/$C$188</f>
        <v>6.9274252539863994</v>
      </c>
      <c r="I188" s="3">
        <v>1.25</v>
      </c>
      <c r="J188" s="9" t="str">
        <f>IF($H$188&gt;=$I$188-0.00001,"OK","NON OK")</f>
        <v>OK</v>
      </c>
    </row>
    <row r="189" spans="2:10" ht="15.75" x14ac:dyDescent="0.25">
      <c r="B189" s="7" t="s">
        <v>82</v>
      </c>
      <c r="C189" s="3">
        <f>SQRT($H$42^2+$I$42^2)</f>
        <v>7.1407562624696839</v>
      </c>
      <c r="D189" s="10">
        <f>$E$42+1*$F$53</f>
        <v>93.034000000000006</v>
      </c>
      <c r="E189" s="5">
        <f>IF($D$189&lt;=0,0,IF(ABS($E$77)/$D$189&lt;=$C$15/6+0.000001,$C$15,MIN(3*($C$15/2-ABS($E$77)/$D$189),$C$15)))</f>
        <v>1.3</v>
      </c>
      <c r="F189" s="5">
        <f>IF($D$189&lt;=0,0,IF(ABS($F$77)/$D$189&lt;=$D$15/6+0.000001,$D$15,MIN(3*($D$15/2-ABS($F$77)/$D$189),$D$15)))</f>
        <v>1.3</v>
      </c>
      <c r="G189" s="3">
        <f>MAX($D$189,0)*TAN(RADIANS($J$6))+$K$6*$E$189*$F$189</f>
        <v>49.46705526519402</v>
      </c>
      <c r="H189" s="3">
        <f>$G$189/$C$189</f>
        <v>6.9274252539863994</v>
      </c>
      <c r="I189" s="3">
        <v>1.25</v>
      </c>
      <c r="J189" s="9" t="str">
        <f>IF($H$189&gt;=$I$189-0.00001,"OK","NON OK")</f>
        <v>OK</v>
      </c>
    </row>
    <row r="190" spans="2:10" ht="15.75" x14ac:dyDescent="0.25">
      <c r="B190" s="7" t="s">
        <v>83</v>
      </c>
      <c r="C190" s="3">
        <f>SQRT($H$43^2+$I$43^2)</f>
        <v>21.807338214463499</v>
      </c>
      <c r="D190" s="10">
        <f>$E$43+1*$F$53</f>
        <v>78.994</v>
      </c>
      <c r="E190" s="5">
        <f>IF($D$190&lt;=0,0,IF(ABS($E$78)/$D$190&lt;=$C$15/6+0.000001,$C$15,MIN(3*($C$15/2-ABS($E$78)/$D$190),$C$15)))</f>
        <v>0.5554637061042611</v>
      </c>
      <c r="F190" s="5">
        <f>IF($D$190&lt;=0,0,IF(ABS($F$78)/$D$190&lt;=$D$15/6+0.000001,$D$15,MIN(3*($D$15/2-ABS($F$78)/$D$190),$D$15)))</f>
        <v>1.3</v>
      </c>
      <c r="G190" s="3">
        <f>MAX($D$190,0)*TAN(RADIANS($J$6))+$K$6*$E$190*$F$190</f>
        <v>42.001854844666852</v>
      </c>
      <c r="H190" s="3">
        <f>$G$190/$C$190</f>
        <v>1.9260422538322235</v>
      </c>
      <c r="I190" s="3">
        <v>1.25</v>
      </c>
      <c r="J190" s="9" t="str">
        <f>IF($H$190&gt;=$I$190-0.00001,"OK","NON OK")</f>
        <v>OK</v>
      </c>
    </row>
    <row r="191" spans="2:10" ht="15.75" x14ac:dyDescent="0.25">
      <c r="B191" s="7" t="s">
        <v>84</v>
      </c>
      <c r="C191" s="3">
        <f>SQRT($H$44^2+$I$44^2)</f>
        <v>21.807338214463499</v>
      </c>
      <c r="D191" s="10">
        <f>$E$44+1*$F$53</f>
        <v>78.994</v>
      </c>
      <c r="E191" s="5">
        <f>IF($D$191&lt;=0,0,IF(ABS($E$79)/$D$191&lt;=$C$15/6+0.000001,$C$15,MIN(3*($C$15/2-ABS($E$79)/$D$191),$C$15)))</f>
        <v>0.5554637061042611</v>
      </c>
      <c r="F191" s="5">
        <f>IF($D$191&lt;=0,0,IF(ABS($F$79)/$D$191&lt;=$D$15/6+0.000001,$D$15,MIN(3*($D$15/2-ABS($F$79)/$D$191),$D$15)))</f>
        <v>1.3</v>
      </c>
      <c r="G191" s="3">
        <f>MAX($D$191,0)*TAN(RADIANS($J$6))+$K$6*$E$191*$F$191</f>
        <v>42.001854844666852</v>
      </c>
      <c r="H191" s="3">
        <f>$G$191/$C$191</f>
        <v>1.9260422538322235</v>
      </c>
      <c r="I191" s="3">
        <v>1.25</v>
      </c>
      <c r="J191" s="9" t="str">
        <f>IF($H$191&gt;=$I$191-0.00001,"OK","NON OK")</f>
        <v>OK</v>
      </c>
    </row>
    <row r="192" spans="2:10" ht="15.75" x14ac:dyDescent="0.25">
      <c r="B192" s="7" t="s">
        <v>85</v>
      </c>
      <c r="C192" s="3">
        <f>SQRT($H$45^2+$I$45^2)</f>
        <v>7.1407562624696839</v>
      </c>
      <c r="D192" s="10">
        <f>$E$45+1*$F$53</f>
        <v>86.554000000000002</v>
      </c>
      <c r="E192" s="5">
        <f>IF($D$192&lt;=0,0,IF(ABS($E$80)/$D$192&lt;=$C$15/6+0.000001,$C$15,MIN(3*($C$15/2-ABS($E$80)/$D$192),$C$15)))</f>
        <v>1.3</v>
      </c>
      <c r="F192" s="5">
        <f>IF($D$192&lt;=0,0,IF(ABS($F$80)/$D$192&lt;=$D$15/6+0.000001,$D$15,MIN(3*($D$15/2-ABS($F$80)/$D$192),$D$15)))</f>
        <v>1.3</v>
      </c>
      <c r="G192" s="3">
        <f>MAX($D$192,0)*TAN(RADIANS($J$6))+$K$6*$E$192*$F$192</f>
        <v>46.021578148027636</v>
      </c>
      <c r="H192" s="3">
        <f>$G$192/$C$192</f>
        <v>6.4449165405501088</v>
      </c>
      <c r="I192" s="3">
        <v>1.25</v>
      </c>
      <c r="J192" s="9" t="str">
        <f>IF($H$192&gt;=$I$192-0.00001,"OK","NON OK")</f>
        <v>OK</v>
      </c>
    </row>
    <row r="193" spans="2:11" ht="15.75" x14ac:dyDescent="0.25">
      <c r="B193" s="7" t="s">
        <v>86</v>
      </c>
      <c r="C193" s="3">
        <f>SQRT($H$46^2+$I$46^2)</f>
        <v>7.1407562624696839</v>
      </c>
      <c r="D193" s="10">
        <f>$E$46+1*$F$53</f>
        <v>86.554000000000002</v>
      </c>
      <c r="E193" s="5">
        <f>IF($D$193&lt;=0,0,IF(ABS($E$81)/$D$193&lt;=$C$15/6+0.000001,$C$15,MIN(3*($C$15/2-ABS($E$81)/$D$193),$C$15)))</f>
        <v>1.3</v>
      </c>
      <c r="F193" s="5">
        <f>IF($D$193&lt;=0,0,IF(ABS($F$81)/$D$193&lt;=$D$15/6+0.000001,$D$15,MIN(3*($D$15/2-ABS($F$81)/$D$193),$D$15)))</f>
        <v>1.3</v>
      </c>
      <c r="G193" s="3">
        <f>MAX($D$193,0)*TAN(RADIANS($J$6))+$K$6*$E$193*$F$193</f>
        <v>46.021578148027636</v>
      </c>
      <c r="H193" s="3">
        <f>$G$193/$C$193</f>
        <v>6.4449165405501088</v>
      </c>
      <c r="I193" s="3">
        <v>1.25</v>
      </c>
      <c r="J193" s="9" t="str">
        <f>IF($H$193&gt;=$I$193-0.00001,"OK","NON OK")</f>
        <v>OK</v>
      </c>
    </row>
    <row r="195" spans="2:11" ht="20.100000000000001" customHeight="1" x14ac:dyDescent="0.25">
      <c r="B195" s="28" t="s">
        <v>134</v>
      </c>
      <c r="C195" s="29"/>
      <c r="D195" s="29"/>
      <c r="E195" s="29"/>
      <c r="F195" s="29"/>
      <c r="G195" s="29"/>
      <c r="H195" s="29"/>
      <c r="I195" s="29"/>
      <c r="J195" s="29"/>
      <c r="K195" s="29"/>
    </row>
    <row r="196" spans="2:11" ht="15" customHeight="1" x14ac:dyDescent="0.25">
      <c r="B196" s="20" t="s">
        <v>135</v>
      </c>
      <c r="C196" s="21"/>
      <c r="D196" s="21"/>
      <c r="E196" s="21"/>
      <c r="F196" s="21"/>
      <c r="G196" s="21"/>
      <c r="H196" s="21"/>
      <c r="I196" s="21"/>
      <c r="J196" s="21"/>
      <c r="K196" s="21"/>
    </row>
    <row r="197" spans="2:11" ht="32.1" customHeight="1" x14ac:dyDescent="0.25">
      <c r="B197" s="2" t="s">
        <v>51</v>
      </c>
      <c r="C197" s="2" t="s">
        <v>136</v>
      </c>
      <c r="D197" s="2" t="s">
        <v>137</v>
      </c>
      <c r="E197" s="2" t="s">
        <v>138</v>
      </c>
      <c r="F197" s="2" t="s">
        <v>125</v>
      </c>
      <c r="G197" s="2" t="s">
        <v>40</v>
      </c>
    </row>
    <row r="198" spans="2:11" ht="15.75" x14ac:dyDescent="0.25">
      <c r="B198" s="7" t="s">
        <v>65</v>
      </c>
      <c r="C198" s="3">
        <f>-$E$27</f>
        <v>10</v>
      </c>
      <c r="D198" s="10">
        <f>1*$F$53</f>
        <v>52.394000000000005</v>
      </c>
      <c r="E198" s="3">
        <f>$D$198/$C$198</f>
        <v>5.2394000000000007</v>
      </c>
      <c r="F198" s="3">
        <v>1</v>
      </c>
      <c r="G198" s="9" t="str">
        <f>IF($E$198&gt;=$F$198-0.00001,"OK","NON OK")</f>
        <v>OK</v>
      </c>
    </row>
    <row r="200" spans="2:11" ht="20.100000000000001" customHeight="1" x14ac:dyDescent="0.25">
      <c r="B200" s="28" t="s">
        <v>139</v>
      </c>
      <c r="C200" s="29"/>
      <c r="D200" s="29"/>
      <c r="E200" s="29"/>
      <c r="F200" s="29"/>
      <c r="G200" s="29"/>
      <c r="H200" s="29"/>
      <c r="I200" s="29"/>
      <c r="J200" s="29"/>
      <c r="K200" s="29"/>
    </row>
    <row r="201" spans="2:11" ht="15" customHeight="1" x14ac:dyDescent="0.25">
      <c r="B201" s="20" t="s">
        <v>140</v>
      </c>
      <c r="C201" s="21"/>
      <c r="D201" s="21"/>
      <c r="E201" s="21"/>
      <c r="F201" s="21"/>
      <c r="G201" s="21"/>
      <c r="H201" s="21"/>
      <c r="I201" s="21"/>
      <c r="J201" s="21"/>
      <c r="K201" s="21"/>
    </row>
    <row r="202" spans="2:11" ht="32.1" customHeight="1" x14ac:dyDescent="0.25">
      <c r="B202" s="2" t="s">
        <v>51</v>
      </c>
      <c r="C202" s="2" t="s">
        <v>141</v>
      </c>
      <c r="D202" s="2" t="s">
        <v>142</v>
      </c>
      <c r="E202" s="2" t="s">
        <v>143</v>
      </c>
      <c r="F202" s="2" t="s">
        <v>144</v>
      </c>
      <c r="G202" s="2" t="s">
        <v>145</v>
      </c>
      <c r="H202" s="2" t="s">
        <v>116</v>
      </c>
      <c r="I202" s="2" t="s">
        <v>40</v>
      </c>
    </row>
    <row r="203" spans="2:11" ht="15.75" x14ac:dyDescent="0.25">
      <c r="B203" s="7" t="s">
        <v>59</v>
      </c>
      <c r="C203" s="10">
        <f>$E$23+1.35*$F$51</f>
        <v>66.27</v>
      </c>
      <c r="D203" s="3">
        <f>IF(AND($B$10+2*$E$15&gt;=$C$15,$C$10+2*$E$15&gt;=$D$15),0,$C$203*(1-MIN($B$10+2*$E$15,$C$15)*MIN($C$10+2*$E$15,$D$15)/($C$15*$D$15)))</f>
        <v>9.8032544378698123</v>
      </c>
      <c r="E203" s="5">
        <f t="shared" ref="E203:E219" si="6">2*($B$10+$C$10+2*$E$15)</f>
        <v>3.2</v>
      </c>
      <c r="F203" s="3">
        <f t="shared" ref="F203:F211" si="7">$I$10</f>
        <v>1.5</v>
      </c>
      <c r="G203" s="3">
        <f>0.045*$E$203*$E$15*$C$6/$F$203*1000</f>
        <v>960</v>
      </c>
      <c r="H203" s="13">
        <f>$D$203/$G$203</f>
        <v>1.0211723372781055E-2</v>
      </c>
      <c r="I203" s="9" t="str">
        <f>IF($D$203&lt;=$G$203+0.00001,"OK","NON OK")</f>
        <v>OK</v>
      </c>
    </row>
    <row r="204" spans="2:11" ht="15.75" x14ac:dyDescent="0.25">
      <c r="B204" s="7" t="s">
        <v>62</v>
      </c>
      <c r="C204" s="10">
        <f>$E$24+1.35*$F$51</f>
        <v>54.27</v>
      </c>
      <c r="D204" s="3">
        <f>IF(AND($B$10+2*$E$15&gt;=$C$15,$C$10+2*$E$15&gt;=$D$15),0,$C$204*(1-MIN($B$10+2*$E$15,$C$15)*MIN($C$10+2*$E$15,$D$15)/($C$15*$D$15)))</f>
        <v>8.0281065088757337</v>
      </c>
      <c r="E204" s="5">
        <f t="shared" si="6"/>
        <v>3.2</v>
      </c>
      <c r="F204" s="3">
        <f t="shared" si="7"/>
        <v>1.5</v>
      </c>
      <c r="G204" s="3">
        <f>0.045*$E$204*$E$15*$C$6/$F$204*1000</f>
        <v>960</v>
      </c>
      <c r="H204" s="13">
        <f>$D$204/$G$204</f>
        <v>8.3626109467455564E-3</v>
      </c>
      <c r="I204" s="9" t="str">
        <f>IF($D$204&lt;=$G$204+0.00001,"OK","NON OK")</f>
        <v>OK</v>
      </c>
    </row>
    <row r="205" spans="2:11" ht="15.75" x14ac:dyDescent="0.25">
      <c r="B205" s="7" t="s">
        <v>63</v>
      </c>
      <c r="C205" s="10">
        <f>$E$25+1.35*$F$51</f>
        <v>9.27</v>
      </c>
      <c r="D205" s="3">
        <f>IF(AND($B$10+2*$E$15&gt;=$C$15,$C$10+2*$E$15&gt;=$D$15),0,$C$205*(1-MIN($B$10+2*$E$15,$C$15)*MIN($C$10+2*$E$15,$D$15)/($C$15*$D$15)))</f>
        <v>1.3713017751479277</v>
      </c>
      <c r="E205" s="5">
        <f t="shared" si="6"/>
        <v>3.2</v>
      </c>
      <c r="F205" s="3">
        <f t="shared" si="7"/>
        <v>1.5</v>
      </c>
      <c r="G205" s="3">
        <f>0.045*$E$205*$E$15*$C$6/$F$205*1000</f>
        <v>960</v>
      </c>
      <c r="H205" s="13">
        <f>$D$205/$G$205</f>
        <v>1.4284393491124246E-3</v>
      </c>
      <c r="I205" s="9" t="str">
        <f>IF($D$205&lt;=$G$205+0.00001,"OK","NON OK")</f>
        <v>OK</v>
      </c>
    </row>
    <row r="206" spans="2:11" ht="15.75" x14ac:dyDescent="0.25">
      <c r="B206" s="7" t="s">
        <v>64</v>
      </c>
      <c r="C206" s="10">
        <f>$E$26+1.35*$F$51</f>
        <v>54.27</v>
      </c>
      <c r="D206" s="3">
        <f>IF(AND($B$10+2*$E$15&gt;=$C$15,$C$10+2*$E$15&gt;=$D$15),0,$C$206*(1-MIN($B$10+2*$E$15,$C$15)*MIN($C$10+2*$E$15,$D$15)/($C$15*$D$15)))</f>
        <v>8.0281065088757337</v>
      </c>
      <c r="E206" s="5">
        <f t="shared" si="6"/>
        <v>3.2</v>
      </c>
      <c r="F206" s="3">
        <f t="shared" si="7"/>
        <v>1.5</v>
      </c>
      <c r="G206" s="3">
        <f>0.045*$E$206*$E$15*$C$6/$F$206*1000</f>
        <v>960</v>
      </c>
      <c r="H206" s="13">
        <f>$D$206/$G$206</f>
        <v>8.3626109467455564E-3</v>
      </c>
      <c r="I206" s="9" t="str">
        <f>IF($D$206&lt;=$G$206+0.00001,"OK","NON OK")</f>
        <v>OK</v>
      </c>
    </row>
    <row r="207" spans="2:11" ht="15.75" x14ac:dyDescent="0.25">
      <c r="B207" s="7" t="s">
        <v>66</v>
      </c>
      <c r="C207" s="10">
        <f>$E$28+1*$F$51</f>
        <v>40.200000000000003</v>
      </c>
      <c r="D207" s="3">
        <f>IF(AND($B$10+2*$E$15&gt;=$C$15,$C$10+2*$E$15&gt;=$D$15),0,$C$207*(1-MIN($B$10+2*$E$15,$C$15)*MIN($C$10+2*$E$15,$D$15)/($C$15*$D$15)))</f>
        <v>5.9467455621301726</v>
      </c>
      <c r="E207" s="5">
        <f t="shared" si="6"/>
        <v>3.2</v>
      </c>
      <c r="F207" s="3">
        <f t="shared" si="7"/>
        <v>1.5</v>
      </c>
      <c r="G207" s="3">
        <f>0.045*$E$207*$E$15*$C$6/$F$207*1000</f>
        <v>960</v>
      </c>
      <c r="H207" s="13">
        <f>$D$207/$G$207</f>
        <v>6.1945266272189301E-3</v>
      </c>
      <c r="I207" s="9" t="str">
        <f>IF($D$207&lt;=$G$207+0.00001,"OK","NON OK")</f>
        <v>OK</v>
      </c>
    </row>
    <row r="208" spans="2:11" ht="15.75" x14ac:dyDescent="0.25">
      <c r="B208" s="7" t="s">
        <v>67</v>
      </c>
      <c r="C208" s="10">
        <f>$E$29+1.35*$F$51</f>
        <v>24.57</v>
      </c>
      <c r="D208" s="3">
        <f>IF(AND($B$10+2*$E$15&gt;=$C$15,$C$10+2*$E$15&gt;=$D$15),0,$C$208*(1-MIN($B$10+2*$E$15,$C$15)*MIN($C$10+2*$E$15,$D$15)/($C$15*$D$15)))</f>
        <v>3.6346153846153815</v>
      </c>
      <c r="E208" s="5">
        <f t="shared" si="6"/>
        <v>3.2</v>
      </c>
      <c r="F208" s="3">
        <f t="shared" si="7"/>
        <v>1.5</v>
      </c>
      <c r="G208" s="3">
        <f>0.045*$E$208*$E$15*$C$6/$F$208*1000</f>
        <v>960</v>
      </c>
      <c r="H208" s="13">
        <f>$D$208/$G$208</f>
        <v>3.7860576923076888E-3</v>
      </c>
      <c r="I208" s="9" t="str">
        <f>IF($D$208&lt;=$G$208+0.00001,"OK","NON OK")</f>
        <v>OK</v>
      </c>
    </row>
    <row r="209" spans="2:11" ht="15.75" x14ac:dyDescent="0.25">
      <c r="B209" s="7" t="s">
        <v>68</v>
      </c>
      <c r="C209" s="10">
        <f>$E$30+1.35*$F$51</f>
        <v>65.069999999999993</v>
      </c>
      <c r="D209" s="3">
        <f>IF(AND($B$10+2*$E$15&gt;=$C$15,$C$10+2*$E$15&gt;=$D$15),0,$C$209*(1-MIN($B$10+2*$E$15,$C$15)*MIN($C$10+2*$E$15,$D$15)/($C$15*$D$15)))</f>
        <v>9.6257396449704054</v>
      </c>
      <c r="E209" s="5">
        <f t="shared" si="6"/>
        <v>3.2</v>
      </c>
      <c r="F209" s="3">
        <f t="shared" si="7"/>
        <v>1.5</v>
      </c>
      <c r="G209" s="3">
        <f>0.045*$E$209*$E$15*$C$6/$F$209*1000</f>
        <v>960</v>
      </c>
      <c r="H209" s="13">
        <f>$D$209/$G$209</f>
        <v>1.0026812130177505E-2</v>
      </c>
      <c r="I209" s="9" t="str">
        <f>IF($D$209&lt;=$G$209+0.00001,"OK","NON OK")</f>
        <v>OK</v>
      </c>
    </row>
    <row r="210" spans="2:11" ht="15.75" x14ac:dyDescent="0.25">
      <c r="B210" s="7" t="s">
        <v>69</v>
      </c>
      <c r="C210" s="10">
        <f>$E$31+1.35*$F$51</f>
        <v>13.77</v>
      </c>
      <c r="D210" s="3">
        <f>IF(AND($B$10+2*$E$15&gt;=$C$15,$C$10+2*$E$15&gt;=$D$15),0,$C$210*(1-MIN($B$10+2*$E$15,$C$15)*MIN($C$10+2*$E$15,$D$15)/($C$15*$D$15)))</f>
        <v>2.0369822485207081</v>
      </c>
      <c r="E210" s="5">
        <f t="shared" si="6"/>
        <v>3.2</v>
      </c>
      <c r="F210" s="3">
        <f t="shared" si="7"/>
        <v>1.5</v>
      </c>
      <c r="G210" s="3">
        <f>0.045*$E$210*$E$15*$C$6/$F$210*1000</f>
        <v>960</v>
      </c>
      <c r="H210" s="13">
        <f>$D$210/$G$210</f>
        <v>2.1218565088757376E-3</v>
      </c>
      <c r="I210" s="9" t="str">
        <f>IF($D$210&lt;=$G$210+0.00001,"OK","NON OK")</f>
        <v>OK</v>
      </c>
    </row>
    <row r="211" spans="2:11" ht="15.75" x14ac:dyDescent="0.25">
      <c r="B211" s="7" t="s">
        <v>70</v>
      </c>
      <c r="C211" s="10">
        <f>$E$32+1.35*$F$51</f>
        <v>54.27</v>
      </c>
      <c r="D211" s="3">
        <f>IF(AND($B$10+2*$E$15&gt;=$C$15,$C$10+2*$E$15&gt;=$D$15),0,$C$211*(1-MIN($B$10+2*$E$15,$C$15)*MIN($C$10+2*$E$15,$D$15)/($C$15*$D$15)))</f>
        <v>8.0281065088757337</v>
      </c>
      <c r="E211" s="5">
        <f t="shared" si="6"/>
        <v>3.2</v>
      </c>
      <c r="F211" s="3">
        <f t="shared" si="7"/>
        <v>1.5</v>
      </c>
      <c r="G211" s="3">
        <f>0.045*$E$211*$E$15*$C$6/$F$211*1000</f>
        <v>960</v>
      </c>
      <c r="H211" s="13">
        <f>$D$211/$G$211</f>
        <v>8.3626109467455564E-3</v>
      </c>
      <c r="I211" s="9" t="str">
        <f>IF($D$211&lt;=$G$211+0.00001,"OK","NON OK")</f>
        <v>OK</v>
      </c>
    </row>
    <row r="212" spans="2:11" ht="15.75" x14ac:dyDescent="0.25">
      <c r="B212" s="7" t="s">
        <v>78</v>
      </c>
      <c r="C212" s="10">
        <f>$E$39+1*$F$51</f>
        <v>53.400000000000006</v>
      </c>
      <c r="D212" s="3">
        <f>IF(AND($B$10+2*$E$15&gt;=$C$15,$C$10+2*$E$15&gt;=$D$15),0,$C$212*(1-MIN($B$10+2*$E$15,$C$15)*MIN($C$10+2*$E$15,$D$15)/($C$15*$D$15)))</f>
        <v>7.8994082840236626</v>
      </c>
      <c r="E212" s="5">
        <f t="shared" si="6"/>
        <v>3.2</v>
      </c>
      <c r="F212" s="3">
        <f t="shared" ref="F212:F219" si="8">$J$10</f>
        <v>1.2</v>
      </c>
      <c r="G212" s="3">
        <f>0.045*$E$212*$E$15*$C$6/$F$212*1000</f>
        <v>1200</v>
      </c>
      <c r="H212" s="13">
        <f>$D$212/$G$212</f>
        <v>6.5828402366863853E-3</v>
      </c>
      <c r="I212" s="9" t="str">
        <f>IF($D$212&lt;=$G$212+0.00001,"OK","NON OK")</f>
        <v>OK</v>
      </c>
    </row>
    <row r="213" spans="2:11" ht="15.75" x14ac:dyDescent="0.25">
      <c r="B213" s="7" t="s">
        <v>80</v>
      </c>
      <c r="C213" s="10">
        <f>$E$40+1*$F$51</f>
        <v>53.400000000000006</v>
      </c>
      <c r="D213" s="3">
        <f>IF(AND($B$10+2*$E$15&gt;=$C$15,$C$10+2*$E$15&gt;=$D$15),0,$C$213*(1-MIN($B$10+2*$E$15,$C$15)*MIN($C$10+2*$E$15,$D$15)/($C$15*$D$15)))</f>
        <v>7.8994082840236626</v>
      </c>
      <c r="E213" s="5">
        <f t="shared" si="6"/>
        <v>3.2</v>
      </c>
      <c r="F213" s="3">
        <f t="shared" si="8"/>
        <v>1.2</v>
      </c>
      <c r="G213" s="3">
        <f>0.045*$E$213*$E$15*$C$6/$F$213*1000</f>
        <v>1200</v>
      </c>
      <c r="H213" s="13">
        <f>$D$213/$G$213</f>
        <v>6.5828402366863853E-3</v>
      </c>
      <c r="I213" s="9" t="str">
        <f>IF($D$213&lt;=$G$213+0.00001,"OK","NON OK")</f>
        <v>OK</v>
      </c>
    </row>
    <row r="214" spans="2:11" ht="15.75" x14ac:dyDescent="0.25">
      <c r="B214" s="7" t="s">
        <v>81</v>
      </c>
      <c r="C214" s="10">
        <f>$E$41+1*$F$51</f>
        <v>45.84</v>
      </c>
      <c r="D214" s="3">
        <f>IF(AND($B$10+2*$E$15&gt;=$C$15,$C$10+2*$E$15&gt;=$D$15),0,$C$214*(1-MIN($B$10+2*$E$15,$C$15)*MIN($C$10+2*$E$15,$D$15)/($C$15*$D$15)))</f>
        <v>6.7810650887573907</v>
      </c>
      <c r="E214" s="5">
        <f t="shared" si="6"/>
        <v>3.2</v>
      </c>
      <c r="F214" s="3">
        <f t="shared" si="8"/>
        <v>1.2</v>
      </c>
      <c r="G214" s="3">
        <f>0.045*$E$214*$E$15*$C$6/$F$214*1000</f>
        <v>1200</v>
      </c>
      <c r="H214" s="13">
        <f>$D$214/$G$214</f>
        <v>5.6508875739644925E-3</v>
      </c>
      <c r="I214" s="9" t="str">
        <f>IF($D$214&lt;=$G$214+0.00001,"OK","NON OK")</f>
        <v>OK</v>
      </c>
    </row>
    <row r="215" spans="2:11" ht="15.75" x14ac:dyDescent="0.25">
      <c r="B215" s="7" t="s">
        <v>82</v>
      </c>
      <c r="C215" s="10">
        <f>$E$42+1*$F$51</f>
        <v>45.84</v>
      </c>
      <c r="D215" s="3">
        <f>IF(AND($B$10+2*$E$15&gt;=$C$15,$C$10+2*$E$15&gt;=$D$15),0,$C$215*(1-MIN($B$10+2*$E$15,$C$15)*MIN($C$10+2*$E$15,$D$15)/($C$15*$D$15)))</f>
        <v>6.7810650887573907</v>
      </c>
      <c r="E215" s="5">
        <f t="shared" si="6"/>
        <v>3.2</v>
      </c>
      <c r="F215" s="3">
        <f t="shared" si="8"/>
        <v>1.2</v>
      </c>
      <c r="G215" s="3">
        <f>0.045*$E$215*$E$15*$C$6/$F$215*1000</f>
        <v>1200</v>
      </c>
      <c r="H215" s="13">
        <f>$D$215/$G$215</f>
        <v>5.6508875739644925E-3</v>
      </c>
      <c r="I215" s="9" t="str">
        <f>IF($D$215&lt;=$G$215+0.00001,"OK","NON OK")</f>
        <v>OK</v>
      </c>
    </row>
    <row r="216" spans="2:11" ht="15.75" x14ac:dyDescent="0.25">
      <c r="B216" s="7" t="s">
        <v>83</v>
      </c>
      <c r="C216" s="10">
        <f>$E$43+1*$F$51</f>
        <v>31.8</v>
      </c>
      <c r="D216" s="3">
        <f>IF(AND($B$10+2*$E$15&gt;=$C$15,$C$10+2*$E$15&gt;=$D$15),0,$C$216*(1-MIN($B$10+2*$E$15,$C$15)*MIN($C$10+2*$E$15,$D$15)/($C$15*$D$15)))</f>
        <v>4.7041420118343158</v>
      </c>
      <c r="E216" s="5">
        <f t="shared" si="6"/>
        <v>3.2</v>
      </c>
      <c r="F216" s="3">
        <f t="shared" si="8"/>
        <v>1.2</v>
      </c>
      <c r="G216" s="3">
        <f>0.045*$E$216*$E$15*$C$6/$F$216*1000</f>
        <v>1200</v>
      </c>
      <c r="H216" s="13">
        <f>$D$216/$G$216</f>
        <v>3.9201183431952632E-3</v>
      </c>
      <c r="I216" s="9" t="str">
        <f>IF($D$216&lt;=$G$216+0.00001,"OK","NON OK")</f>
        <v>OK</v>
      </c>
    </row>
    <row r="217" spans="2:11" ht="15.75" x14ac:dyDescent="0.25">
      <c r="B217" s="7" t="s">
        <v>84</v>
      </c>
      <c r="C217" s="10">
        <f>$E$44+1*$F$51</f>
        <v>31.8</v>
      </c>
      <c r="D217" s="3">
        <f>IF(AND($B$10+2*$E$15&gt;=$C$15,$C$10+2*$E$15&gt;=$D$15),0,$C$217*(1-MIN($B$10+2*$E$15,$C$15)*MIN($C$10+2*$E$15,$D$15)/($C$15*$D$15)))</f>
        <v>4.7041420118343158</v>
      </c>
      <c r="E217" s="5">
        <f t="shared" si="6"/>
        <v>3.2</v>
      </c>
      <c r="F217" s="3">
        <f t="shared" si="8"/>
        <v>1.2</v>
      </c>
      <c r="G217" s="3">
        <f>0.045*$E$217*$E$15*$C$6/$F$217*1000</f>
        <v>1200</v>
      </c>
      <c r="H217" s="13">
        <f>$D$217/$G$217</f>
        <v>3.9201183431952632E-3</v>
      </c>
      <c r="I217" s="9" t="str">
        <f>IF($D$217&lt;=$G$217+0.00001,"OK","NON OK")</f>
        <v>OK</v>
      </c>
    </row>
    <row r="218" spans="2:11" ht="15.75" x14ac:dyDescent="0.25">
      <c r="B218" s="7" t="s">
        <v>85</v>
      </c>
      <c r="C218" s="10">
        <f>$E$45+1*$F$51</f>
        <v>39.36</v>
      </c>
      <c r="D218" s="3">
        <f>IF(AND($B$10+2*$E$15&gt;=$C$15,$C$10+2*$E$15&gt;=$D$15),0,$C$218*(1-MIN($B$10+2*$E$15,$C$15)*MIN($C$10+2*$E$15,$D$15)/($C$15*$D$15)))</f>
        <v>5.8224852071005868</v>
      </c>
      <c r="E218" s="5">
        <f t="shared" si="6"/>
        <v>3.2</v>
      </c>
      <c r="F218" s="3">
        <f t="shared" si="8"/>
        <v>1.2</v>
      </c>
      <c r="G218" s="3">
        <f>0.045*$E$218*$E$15*$C$6/$F$218*1000</f>
        <v>1200</v>
      </c>
      <c r="H218" s="13">
        <f>$D$218/$G$218</f>
        <v>4.852071005917156E-3</v>
      </c>
      <c r="I218" s="9" t="str">
        <f>IF($D$218&lt;=$G$218+0.00001,"OK","NON OK")</f>
        <v>OK</v>
      </c>
    </row>
    <row r="219" spans="2:11" ht="15.75" x14ac:dyDescent="0.25">
      <c r="B219" s="7" t="s">
        <v>86</v>
      </c>
      <c r="C219" s="10">
        <f>$E$46+1*$F$51</f>
        <v>39.36</v>
      </c>
      <c r="D219" s="3">
        <f>IF(AND($B$10+2*$E$15&gt;=$C$15,$C$10+2*$E$15&gt;=$D$15),0,$C$219*(1-MIN($B$10+2*$E$15,$C$15)*MIN($C$10+2*$E$15,$D$15)/($C$15*$D$15)))</f>
        <v>5.8224852071005868</v>
      </c>
      <c r="E219" s="5">
        <f t="shared" si="6"/>
        <v>3.2</v>
      </c>
      <c r="F219" s="3">
        <f t="shared" si="8"/>
        <v>1.2</v>
      </c>
      <c r="G219" s="3">
        <f>0.045*$E$219*$E$15*$C$6/$F$219*1000</f>
        <v>1200</v>
      </c>
      <c r="H219" s="13">
        <f>$D$219/$G$219</f>
        <v>4.852071005917156E-3</v>
      </c>
      <c r="I219" s="9" t="str">
        <f>IF($D$219&lt;=$G$219+0.00001,"OK","NON OK")</f>
        <v>OK</v>
      </c>
    </row>
    <row r="221" spans="2:11" ht="20.100000000000001" customHeight="1" x14ac:dyDescent="0.25">
      <c r="B221" s="28" t="s">
        <v>146</v>
      </c>
      <c r="C221" s="29"/>
      <c r="D221" s="29"/>
      <c r="E221" s="29"/>
      <c r="F221" s="29"/>
      <c r="G221" s="29"/>
      <c r="H221" s="29"/>
      <c r="I221" s="29"/>
      <c r="J221" s="29"/>
      <c r="K221" s="29"/>
    </row>
    <row r="222" spans="2:11" ht="15" customHeight="1" x14ac:dyDescent="0.25">
      <c r="B222" s="20" t="s">
        <v>147</v>
      </c>
      <c r="C222" s="21"/>
      <c r="D222" s="21"/>
      <c r="E222" s="21"/>
      <c r="F222" s="21"/>
      <c r="G222" s="21"/>
      <c r="H222" s="21"/>
      <c r="I222" s="21"/>
      <c r="J222" s="21"/>
      <c r="K222" s="21"/>
    </row>
    <row r="223" spans="2:11" ht="45" customHeight="1" x14ac:dyDescent="0.25">
      <c r="B223" s="20" t="s">
        <v>148</v>
      </c>
      <c r="C223" s="21"/>
      <c r="D223" s="21"/>
      <c r="E223" s="21"/>
      <c r="F223" s="21"/>
      <c r="G223" s="21"/>
      <c r="H223" s="21"/>
      <c r="I223" s="21"/>
      <c r="J223" s="21"/>
      <c r="K223" s="21"/>
    </row>
    <row r="224" spans="2:11" ht="32.1" customHeight="1" x14ac:dyDescent="0.25">
      <c r="B224" s="2" t="s">
        <v>51</v>
      </c>
      <c r="C224" s="2" t="s">
        <v>141</v>
      </c>
      <c r="D224" s="2" t="s">
        <v>149</v>
      </c>
      <c r="E224" s="2" t="s">
        <v>150</v>
      </c>
      <c r="F224" s="2" t="s">
        <v>151</v>
      </c>
      <c r="G224" s="2" t="s">
        <v>152</v>
      </c>
      <c r="H224" s="2" t="s">
        <v>153</v>
      </c>
      <c r="I224" s="2" t="s">
        <v>154</v>
      </c>
      <c r="J224" s="2" t="s">
        <v>155</v>
      </c>
      <c r="K224" s="2" t="s">
        <v>156</v>
      </c>
    </row>
    <row r="225" spans="2:11" x14ac:dyDescent="0.25">
      <c r="B225" s="7" t="s">
        <v>59</v>
      </c>
      <c r="C225" s="3">
        <f>$E$23+1.35*$F$51</f>
        <v>66.27</v>
      </c>
      <c r="D225" s="5">
        <f>IF($C$225&gt;0,ABS($E$58)/$C$225,"—")</f>
        <v>0</v>
      </c>
      <c r="E225" s="3">
        <f>IF($C$225&lt;=0,"—",IF($D$225&lt;=$C$15/6+0.000001,10*$C$225*(1+3*$D$225/$C$15)*($C$15-$B$10)/(8*$F$15*$E$8),"—"))</f>
        <v>0.62490388119533513</v>
      </c>
      <c r="F225" s="5">
        <f>IF($D$58&lt;=0,0,IF(ABS($E$58)/$D$58&lt;=$C$15/6+0.000001,$C$15,3*($C$15/2-ABS($E$58)/$D$58)))</f>
        <v>1.3</v>
      </c>
      <c r="G225" s="14">
        <f>IF($D$58&lt;=0,0,IF(ABS($E$58)/$D$58&lt;=$C$15/6+0.000001,$D$58/($C$15*$D$15)*(1+6*ABS($E$58)/$D$58/$C$15),2*$D$58/($D$15*$F$225)))</f>
        <v>76.912366863905319</v>
      </c>
      <c r="H225" s="3">
        <f>IF($D$58&lt;=0,0,$D$15*($G$225*(($C$15/2-0.35*$B$10)*MIN(($C$15/2-0.35*$B$10),$F$225)-MIN(($C$15/2-0.35*$B$10),$F$225)^2/2)-IF(ABS($E$58)/$D$58&lt;=$C$15/6+0.000001,12*$D$58*ABS($E$58)/$D$58/($D$15*$C$15^3),$G$225/$F$225)*(($C$15/2-0.35*$B$10)*MIN(($C$15/2-0.35*$B$10),$F$225)^2/2-MIN(($C$15/2-0.35*$B$10),$F$225)^3/3)))-1.35*($E$6*$E$15+$I$6*MAX($G$6-$E$15,0))*$D$15*($C$15/2-0.35*$B$10)^2/2</f>
        <v>6.2017043538461536</v>
      </c>
      <c r="I225" s="15">
        <f>MAX($H$225,0)/($D$15*$F$15^2*$H$8*1000)</f>
        <v>2.8622778588058618E-3</v>
      </c>
      <c r="J225" s="3">
        <f>IF($H$225&lt;=0,0,IF($I$225&gt;=0.5,"μ ≥ 0,5",10*$H$225/($F$15*(1-0.4*1.25*(1-SQRT(1-2*$I$225)))*$E$8)))</f>
        <v>0.52056823267124841</v>
      </c>
      <c r="K225" s="10">
        <f>MAX(N($E$225),N($J$225))</f>
        <v>0.62490388119533513</v>
      </c>
    </row>
    <row r="226" spans="2:11" x14ac:dyDescent="0.25">
      <c r="B226" s="7" t="s">
        <v>62</v>
      </c>
      <c r="C226" s="3">
        <f>$E$24+1.35*$F$51</f>
        <v>54.27</v>
      </c>
      <c r="D226" s="5">
        <f>IF($C$226&gt;0,ABS($E$59)/$C$226,"—")</f>
        <v>0</v>
      </c>
      <c r="E226" s="3">
        <f>IF($C$226&lt;=0,"—",IF($D$226&lt;=$C$15/6+0.000001,10*$C$226*(1+3*$D$226/$C$15)*($C$15-$B$10)/(8*$F$15*$E$8),"—"))</f>
        <v>0.51174790451895047</v>
      </c>
      <c r="F226" s="5">
        <f>IF($D$59&lt;=0,0,IF(ABS($E$59)/$D$59&lt;=$C$15/6+0.000001,$C$15,3*($C$15/2-ABS($E$59)/$D$59)))</f>
        <v>1.3</v>
      </c>
      <c r="G226" s="14">
        <f>IF($D$59&lt;=0,0,IF(ABS($E$59)/$D$59&lt;=$C$15/6+0.000001,$D$59/($C$15*$D$15)*(1+6*ABS($E$59)/$D$59/$C$15),2*$D$59/($D$15*$F$226)))</f>
        <v>69.811775147928998</v>
      </c>
      <c r="H226" s="3">
        <f>IF($D$59&lt;=0,0,$D$15*($G$226*(($C$15/2-0.35*$B$10)*MIN(($C$15/2-0.35*$B$10),$F$226)-MIN(($C$15/2-0.35*$B$10),$F$226)^2/2)-IF(ABS($E$59)/$D$59&lt;=$C$15/6+0.000001,12*$D$59*ABS($E$59)/$D$59/($D$15*$C$15^3),$G$226/$F$226)*(($C$15/2-0.35*$B$10)*MIN(($C$15/2-0.35*$B$10),$F$226)^2/2-MIN(($C$15/2-0.35*$B$10),$F$226)^3/3)))-1.35*($E$6*$E$15+$I$6*MAX($G$6-$E$15,0))*$D$15*($C$15/2-0.35*$B$10)^2/2</f>
        <v>5.0012428153846162</v>
      </c>
      <c r="I226" s="15">
        <f>MAX($H$226,0)/($D$15*$F$15^2*$H$8*1000)</f>
        <v>2.3082278290337205E-3</v>
      </c>
      <c r="J226" s="3">
        <f>IF($H$226&lt;=0,0,IF($I$226&gt;=0.5,"μ ≥ 0,5",10*$H$226/($F$15*(1-0.4*1.25*(1-SQRT(1-2*$I$226)))*$E$8)))</f>
        <v>0.41968530671424314</v>
      </c>
      <c r="K226" s="10">
        <f>MAX(N($E$226),N($J$226))</f>
        <v>0.51174790451895047</v>
      </c>
    </row>
    <row r="227" spans="2:11" x14ac:dyDescent="0.25">
      <c r="B227" s="7" t="s">
        <v>63</v>
      </c>
      <c r="C227" s="3">
        <f>$E$25+1.35*$F$51</f>
        <v>9.27</v>
      </c>
      <c r="D227" s="5">
        <f>IF($C$227&gt;0,ABS($E$60)/$C$227,"—")</f>
        <v>0</v>
      </c>
      <c r="E227" s="3">
        <f>IF($C$227&lt;=0,"—",IF($D$227&lt;=$C$15/6+0.000001,10*$C$227*(1+3*$D$227/$C$15)*($C$15-$B$10)/(8*$F$15*$E$8),"—"))</f>
        <v>8.7412991982507279E-2</v>
      </c>
      <c r="F227" s="5">
        <f>IF($D$60&lt;=0,0,IF(ABS($E$60)/$D$60&lt;=$C$15/6+0.000001,$C$15,3*($C$15/2-ABS($E$60)/$D$60)))</f>
        <v>1.3</v>
      </c>
      <c r="G227" s="14">
        <f>IF($D$60&lt;=0,0,IF(ABS($E$60)/$D$60&lt;=$C$15/6+0.000001,$D$60/($C$15*$D$15)*(1+6*ABS($E$60)/$D$60/$C$15),2*$D$60/($D$15*$F$227)))</f>
        <v>43.18455621301775</v>
      </c>
      <c r="H227" s="3">
        <f>IF($D$60&lt;=0,0,$D$15*($G$227*(($C$15/2-0.35*$B$10)*MIN(($C$15/2-0.35*$B$10),$F$227)-MIN(($C$15/2-0.35*$B$10),$F$227)^2/2)-IF(ABS($E$60)/$D$60&lt;=$C$15/6+0.000001,12*$D$60*ABS($E$60)/$D$60/($D$15*$C$15^3),$G$227/$F$227)*(($C$15/2-0.35*$B$10)*MIN(($C$15/2-0.35*$B$10),$F$227)^2/2-MIN(($C$15/2-0.35*$B$10),$F$227)^3/3)))-1.35*($E$6*$E$15+$I$6*MAX($G$6-$E$15,0))*$D$15*($C$15/2-0.35*$B$10)^2/2</f>
        <v>0.49951204615384626</v>
      </c>
      <c r="I227" s="15">
        <f>MAX($H$227,0)/($D$15*$F$15^2*$H$8*1000)</f>
        <v>2.3054021738818826E-4</v>
      </c>
      <c r="J227" s="3">
        <f>IF($H$227&lt;=0,0,IF($I$227&gt;=0.5,"μ ≥ 0,5",10*$H$227/($F$15*(1-0.4*1.25*(1-SQRT(1-2*$I$227)))*$E$8)))</f>
        <v>4.1873548394731883E-2</v>
      </c>
      <c r="K227" s="10">
        <f>MAX(N($E$227),N($J$227))</f>
        <v>8.7412991982507279E-2</v>
      </c>
    </row>
    <row r="228" spans="2:11" x14ac:dyDescent="0.25">
      <c r="B228" s="7" t="s">
        <v>64</v>
      </c>
      <c r="C228" s="3">
        <f>$E$26+1.35*$F$51</f>
        <v>54.27</v>
      </c>
      <c r="D228" s="5">
        <f>IF($C$228&gt;0,ABS($E$61)/$C$228,"—")</f>
        <v>0</v>
      </c>
      <c r="E228" s="3">
        <f>IF($C$228&lt;=0,"—",IF($D$228&lt;=$C$15/6+0.000001,10*$C$228*(1+3*$D$228/$C$15)*($C$15-$B$10)/(8*$F$15*$E$8),"—"))</f>
        <v>0.51174790451895047</v>
      </c>
      <c r="F228" s="5">
        <f>IF($D$61&lt;=0,0,IF(ABS($E$61)/$D$61&lt;=$C$15/6+0.000001,$C$15,3*($C$15/2-ABS($E$61)/$D$61)))</f>
        <v>1.3</v>
      </c>
      <c r="G228" s="14">
        <f>IF($D$61&lt;=0,0,IF(ABS($E$61)/$D$61&lt;=$C$15/6+0.000001,$D$61/($C$15*$D$15)*(1+6*ABS($E$61)/$D$61/$C$15),2*$D$61/($D$15*$F$228)))</f>
        <v>69.811775147928998</v>
      </c>
      <c r="H228" s="3">
        <f>IF($D$61&lt;=0,0,$D$15*($G$228*(($C$15/2-0.35*$B$10)*MIN(($C$15/2-0.35*$B$10),$F$228)-MIN(($C$15/2-0.35*$B$10),$F$228)^2/2)-IF(ABS($E$61)/$D$61&lt;=$C$15/6+0.000001,12*$D$61*ABS($E$61)/$D$61/($D$15*$C$15^3),$G$228/$F$228)*(($C$15/2-0.35*$B$10)*MIN(($C$15/2-0.35*$B$10),$F$228)^2/2-MIN(($C$15/2-0.35*$B$10),$F$228)^3/3)))-1.35*($E$6*$E$15+$I$6*MAX($G$6-$E$15,0))*$D$15*($C$15/2-0.35*$B$10)^2/2</f>
        <v>5.0012428153846162</v>
      </c>
      <c r="I228" s="15">
        <f>MAX($H$228,0)/($D$15*$F$15^2*$H$8*1000)</f>
        <v>2.3082278290337205E-3</v>
      </c>
      <c r="J228" s="3">
        <f>IF($H$228&lt;=0,0,IF($I$228&gt;=0.5,"μ ≥ 0,5",10*$H$228/($F$15*(1-0.4*1.25*(1-SQRT(1-2*$I$228)))*$E$8)))</f>
        <v>0.41968530671424314</v>
      </c>
      <c r="K228" s="10">
        <f>MAX(N($E$228),N($J$228))</f>
        <v>0.51174790451895047</v>
      </c>
    </row>
    <row r="229" spans="2:11" x14ac:dyDescent="0.25">
      <c r="B229" s="7" t="s">
        <v>65</v>
      </c>
      <c r="C229" s="3">
        <f>$E$27+1*$F$51</f>
        <v>-4.8</v>
      </c>
      <c r="D229" s="5" t="str">
        <f>IF($C$229&gt;0,ABS($E$62)/$C$229,"—")</f>
        <v>—</v>
      </c>
      <c r="E229" s="3" t="str">
        <f>IF($C$229&lt;=0,"—",IF($D$229&lt;=$C$15/6+0.000001,10*$C$229*(1+3*$D$229/$C$15)*($C$15-$B$10)/(8*$F$15*$E$8),"—"))</f>
        <v>—</v>
      </c>
      <c r="F229" s="5">
        <f>IF($D$62&lt;=0,0,IF(ABS($E$62)/$D$62&lt;=$C$15/6+0.000001,$C$15,3*($C$15/2-ABS($E$62)/$D$62)))</f>
        <v>1.3</v>
      </c>
      <c r="G229" s="14">
        <f>IF($D$62&lt;=0,0,IF(ABS($E$62)/$D$62&lt;=$C$15/6+0.000001,$D$62/($C$15*$D$15)*(1+6*ABS($E$62)/$D$62/$C$15),2*$D$62/($D$15*$F$229)))</f>
        <v>25.085207100591717</v>
      </c>
      <c r="H229" s="3">
        <f>IF($D$62&lt;=0,0,$D$15*($G$229*(($C$15/2-0.35*$B$10)*MIN(($C$15/2-0.35*$B$10),$F$229)-MIN(($C$15/2-0.35*$B$10),$F$229)^2/2)-IF(ABS($E$62)/$D$62&lt;=$C$15/6+0.000001,12*$D$62*ABS($E$62)/$D$62/($D$15*$C$15^3),$G$229/$F$229)*(($C$15/2-0.35*$B$10)*MIN(($C$15/2-0.35*$B$10),$F$229)^2/2-MIN(($C$15/2-0.35*$B$10),$F$229)^3/3)))-1*($E$6*$E$15+$I$6*MAX($G$6-$E$15,0))*$D$15*($C$15/2-0.35*$B$10)^2/2</f>
        <v>-0.7971064615384611</v>
      </c>
      <c r="I229" s="15">
        <f>MAX($H$229,0)/($D$15*$F$15^2*$H$8*1000)</f>
        <v>0</v>
      </c>
      <c r="J229" s="3">
        <f>IF($H$229&lt;=0,0,IF($I$229&gt;=0.5,"μ ≥ 0,5",10*$H$229/($F$15*(1-0.4*1.25*(1-SQRT(1-2*$I$229)))*$E$8)))</f>
        <v>0</v>
      </c>
      <c r="K229" s="10">
        <f>MAX(N($E$229),N($J$229))</f>
        <v>0</v>
      </c>
    </row>
    <row r="230" spans="2:11" x14ac:dyDescent="0.25">
      <c r="B230" s="7" t="s">
        <v>66</v>
      </c>
      <c r="C230" s="3">
        <f>$E$28+1*$F$51</f>
        <v>40.200000000000003</v>
      </c>
      <c r="D230" s="5">
        <f>IF($C$230&gt;0,ABS($E$63)/$C$230,"—")</f>
        <v>0</v>
      </c>
      <c r="E230" s="3">
        <f>IF($C$230&lt;=0,"—",IF($D$230&lt;=$C$15/6+0.000001,10*$C$230*(1+3*$D$230/$C$15)*($C$15-$B$10)/(8*$F$15*$E$8),"—"))</f>
        <v>0.37907252186588919</v>
      </c>
      <c r="F230" s="5">
        <f>IF($D$63&lt;=0,0,IF(ABS($E$63)/$D$63&lt;=$C$15/6+0.000001,$C$15,3*($C$15/2-ABS($E$63)/$D$63)))</f>
        <v>1.3</v>
      </c>
      <c r="G230" s="14">
        <f>IF($D$63&lt;=0,0,IF(ABS($E$63)/$D$63&lt;=$C$15/6+0.000001,$D$63/($C$15*$D$15)*(1+6*ABS($E$63)/$D$63/$C$15),2*$D$63/($D$15*$F$230)))</f>
        <v>51.712426035502958</v>
      </c>
      <c r="H230" s="3">
        <f>IF($D$63&lt;=0,0,$D$15*($G$230*(($C$15/2-0.35*$B$10)*MIN(($C$15/2-0.35*$B$10),$F$230)-MIN(($C$15/2-0.35*$B$10),$F$230)^2/2)-IF(ABS($E$63)/$D$63&lt;=$C$15/6+0.000001,12*$D$63*ABS($E$63)/$D$63/($D$15*$C$15^3),$G$230/$F$230)*(($C$15/2-0.35*$B$10)*MIN(($C$15/2-0.35*$B$10),$F$230)^2/2-MIN(($C$15/2-0.35*$B$10),$F$230)^3/3)))-1*($E$6*$E$15+$I$6*MAX($G$6-$E$15,0))*$D$15*($C$15/2-0.35*$B$10)^2/2</f>
        <v>3.7046243076923071</v>
      </c>
      <c r="I230" s="15">
        <f>MAX($H$230,0)/($D$15*$F$15^2*$H$8*1000)</f>
        <v>1.7097983918768294E-3</v>
      </c>
      <c r="J230" s="3">
        <f>IF($H$230&lt;=0,0,IF($I$230&gt;=0.5,"μ ≥ 0,5",10*$H$230/($F$15*(1-0.4*1.25*(1-SQRT(1-2*$I$230)))*$E$8)))</f>
        <v>0.31078471843366118</v>
      </c>
      <c r="K230" s="10">
        <f>MAX(N($E$230),N($J$230))</f>
        <v>0.37907252186588919</v>
      </c>
    </row>
    <row r="231" spans="2:11" x14ac:dyDescent="0.25">
      <c r="B231" s="7" t="s">
        <v>67</v>
      </c>
      <c r="C231" s="3">
        <f>$E$29+1.35*$F$51</f>
        <v>24.57</v>
      </c>
      <c r="D231" s="5">
        <f>IF($C$231&gt;0,ABS($E$64)/$C$231,"—")</f>
        <v>0</v>
      </c>
      <c r="E231" s="3">
        <f>IF($C$231&lt;=0,"—",IF($D$231&lt;=$C$15/6+0.000001,10*$C$231*(1+3*$D$231/$C$15)*($C$15-$B$10)/(8*$F$15*$E$8),"—"))</f>
        <v>0.23168686224489793</v>
      </c>
      <c r="F231" s="5">
        <f>IF($D$64&lt;=0,0,IF(ABS($E$64)/$D$64&lt;=$C$15/6+0.000001,$C$15,3*($C$15/2-ABS($E$64)/$D$64)))</f>
        <v>1.3</v>
      </c>
      <c r="G231" s="14">
        <f>IF($D$64&lt;=0,0,IF(ABS($E$64)/$D$64&lt;=$C$15/6+0.000001,$D$64/($C$15*$D$15)*(1+6*ABS($E$64)/$D$64/$C$15),2*$D$64/($D$15*$F$231)))</f>
        <v>52.237810650887575</v>
      </c>
      <c r="H231" s="3">
        <f>IF($D$64&lt;=0,0,$D$15*($G$231*(($C$15/2-0.35*$B$10)*MIN(($C$15/2-0.35*$B$10),$F$231)-MIN(($C$15/2-0.35*$B$10),$F$231)^2/2)-IF(ABS($E$64)/$D$64&lt;=$C$15/6+0.000001,12*$D$64*ABS($E$64)/$D$64/($D$15*$C$15^3),$G$231/$F$231)*(($C$15/2-0.35*$B$10)*MIN(($C$15/2-0.35*$B$10),$F$231)^2/2-MIN(($C$15/2-0.35*$B$10),$F$231)^3/3)))-1.35*($E$6*$E$15+$I$6*MAX($G$6-$E$15,0))*$D$15*($C$15/2-0.35*$B$10)^2/2</f>
        <v>2.0301005076923087</v>
      </c>
      <c r="I231" s="15">
        <f>MAX($H$231,0)/($D$15*$F$15^2*$H$8*1000)</f>
        <v>9.3695400534766951E-4</v>
      </c>
      <c r="J231" s="3">
        <f>IF($H$231&lt;=0,0,IF($I$231&gt;=0.5,"μ ≥ 0,5",10*$H$231/($F$15*(1-0.4*1.25*(1-SQRT(1-2*$I$231)))*$E$8)))</f>
        <v>0.17024127722437904</v>
      </c>
      <c r="K231" s="10">
        <f>MAX(N($E$231),N($J$231))</f>
        <v>0.23168686224489793</v>
      </c>
    </row>
    <row r="232" spans="2:11" x14ac:dyDescent="0.25">
      <c r="B232" s="7" t="s">
        <v>68</v>
      </c>
      <c r="C232" s="3">
        <f>$E$30+1.35*$F$51</f>
        <v>65.069999999999993</v>
      </c>
      <c r="D232" s="5">
        <f>IF($C$232&gt;0,ABS($E$65)/$C$232,"—")</f>
        <v>0</v>
      </c>
      <c r="E232" s="3">
        <f>IF($C$232&lt;=0,"—",IF($D$232&lt;=$C$15/6+0.000001,10*$C$232*(1+3*$D$232/$C$15)*($C$15-$B$10)/(8*$F$15*$E$8),"—"))</f>
        <v>0.61358828352769668</v>
      </c>
      <c r="F232" s="5">
        <f>IF($D$65&lt;=0,0,IF(ABS($E$65)/$D$65&lt;=$C$15/6+0.000001,$C$15,3*($C$15/2-ABS($E$65)/$D$65)))</f>
        <v>1.3</v>
      </c>
      <c r="G232" s="14">
        <f>IF($D$65&lt;=0,0,IF(ABS($E$65)/$D$65&lt;=$C$15/6+0.000001,$D$65/($C$15*$D$15)*(1+6*ABS($E$65)/$D$65/$C$15),2*$D$65/($D$15*$F$232)))</f>
        <v>76.202307692307684</v>
      </c>
      <c r="H232" s="3">
        <f>IF($D$65&lt;=0,0,$D$15*($G$232*(($C$15/2-0.35*$B$10)*MIN(($C$15/2-0.35*$B$10),$F$232)-MIN(($C$15/2-0.35*$B$10),$F$232)^2/2)-IF(ABS($E$65)/$D$65&lt;=$C$15/6+0.000001,12*$D$65*ABS($E$65)/$D$65/($D$15*$C$15^3),$G$232/$F$232)*(($C$15/2-0.35*$B$10)*MIN(($C$15/2-0.35*$B$10),$F$232)^2/2-MIN(($C$15/2-0.35*$B$10),$F$232)^3/3)))-1.35*($E$6*$E$15+$I$6*MAX($G$6-$E$15,0))*$D$15*($C$15/2-0.35*$B$10)^2/2</f>
        <v>6.0816581999999979</v>
      </c>
      <c r="I232" s="15">
        <f>MAX($H$232,0)/($D$15*$F$15^2*$H$8*1000)</f>
        <v>2.8068728558286469E-3</v>
      </c>
      <c r="J232" s="3">
        <f>IF($H$232&lt;=0,0,IF($I$232&gt;=0.5,"μ ≥ 0,5",10*$H$232/($F$15*(1-0.4*1.25*(1-SQRT(1-2*$I$232)))*$E$8)))</f>
        <v>0.5104774112008944</v>
      </c>
      <c r="K232" s="10">
        <f>MAX(N($E$232),N($J$232))</f>
        <v>0.61358828352769668</v>
      </c>
    </row>
    <row r="233" spans="2:11" x14ac:dyDescent="0.25">
      <c r="B233" s="7" t="s">
        <v>69</v>
      </c>
      <c r="C233" s="3">
        <f>$E$31+1.35*$F$51</f>
        <v>13.77</v>
      </c>
      <c r="D233" s="5">
        <f>IF($C$233&gt;0,ABS($E$66)/$C$233,"—")</f>
        <v>0</v>
      </c>
      <c r="E233" s="3">
        <f>IF($C$233&lt;=0,"—",IF($D$233&lt;=$C$15/6+0.000001,10*$C$233*(1+3*$D$233/$C$15)*($C$15-$B$10)/(8*$F$15*$E$8),"—"))</f>
        <v>0.12984648323615158</v>
      </c>
      <c r="F233" s="5">
        <f>IF($D$66&lt;=0,0,IF(ABS($E$66)/$D$66&lt;=$C$15/6+0.000001,$C$15,3*($C$15/2-ABS($E$66)/$D$66)))</f>
        <v>1.3</v>
      </c>
      <c r="G233" s="14">
        <f>IF($D$66&lt;=0,0,IF(ABS($E$66)/$D$66&lt;=$C$15/6+0.000001,$D$66/($C$15*$D$15)*(1+6*ABS($E$66)/$D$66/$C$15),2*$D$66/($D$15*$F$233)))</f>
        <v>45.847278106508874</v>
      </c>
      <c r="H233" s="3">
        <f>IF($D$66&lt;=0,0,$D$15*($G$233*(($C$15/2-0.35*$B$10)*MIN(($C$15/2-0.35*$B$10),$F$233)-MIN(($C$15/2-0.35*$B$10),$F$233)^2/2)-IF(ABS($E$66)/$D$66&lt;=$C$15/6+0.000001,12*$D$66*ABS($E$66)/$D$66/($D$15*$C$15^3),$G$233/$F$233)*(($C$15/2-0.35*$B$10)*MIN(($C$15/2-0.35*$B$10),$F$233)^2/2-MIN(($C$15/2-0.35*$B$10),$F$233)^3/3)))-1.35*($E$6*$E$15+$I$6*MAX($G$6-$E$15,0))*$D$15*($C$15/2-0.35*$B$10)^2/2</f>
        <v>0.94968512307692166</v>
      </c>
      <c r="I233" s="15">
        <f>MAX($H$233,0)/($D$15*$F$15^2*$H$8*1000)</f>
        <v>4.3830897855274073E-4</v>
      </c>
      <c r="J233" s="3">
        <f>IF($H$233&lt;=0,0,IF($I$233&gt;=0.5,"μ ≥ 0,5",10*$H$233/($F$15*(1-0.4*1.25*(1-SQRT(1-2*$I$233)))*$E$8)))</f>
        <v>7.9619339899833594E-2</v>
      </c>
      <c r="K233" s="10">
        <f>MAX(N($E$233),N($J$233))</f>
        <v>0.12984648323615158</v>
      </c>
    </row>
    <row r="234" spans="2:11" x14ac:dyDescent="0.25">
      <c r="B234" s="7" t="s">
        <v>70</v>
      </c>
      <c r="C234" s="3">
        <f>$E$32+1.35*$F$51</f>
        <v>54.27</v>
      </c>
      <c r="D234" s="5">
        <f>IF($C$234&gt;0,ABS($E$67)/$C$234,"—")</f>
        <v>0</v>
      </c>
      <c r="E234" s="3">
        <f>IF($C$234&lt;=0,"—",IF($D$234&lt;=$C$15/6+0.000001,10*$C$234*(1+3*$D$234/$C$15)*($C$15-$B$10)/(8*$F$15*$E$8),"—"))</f>
        <v>0.51174790451895047</v>
      </c>
      <c r="F234" s="5">
        <f>IF($D$67&lt;=0,0,IF(ABS($E$67)/$D$67&lt;=$C$15/6+0.000001,$C$15,3*($C$15/2-ABS($E$67)/$D$67)))</f>
        <v>1.3</v>
      </c>
      <c r="G234" s="14">
        <f>IF($D$67&lt;=0,0,IF(ABS($E$67)/$D$67&lt;=$C$15/6+0.000001,$D$67/($C$15*$D$15)*(1+6*ABS($E$67)/$D$67/$C$15),2*$D$67/($D$15*$F$234)))</f>
        <v>69.811775147928998</v>
      </c>
      <c r="H234" s="3">
        <f>IF($D$67&lt;=0,0,$D$15*($G$234*(($C$15/2-0.35*$B$10)*MIN(($C$15/2-0.35*$B$10),$F$234)-MIN(($C$15/2-0.35*$B$10),$F$234)^2/2)-IF(ABS($E$67)/$D$67&lt;=$C$15/6+0.000001,12*$D$67*ABS($E$67)/$D$67/($D$15*$C$15^3),$G$234/$F$234)*(($C$15/2-0.35*$B$10)*MIN(($C$15/2-0.35*$B$10),$F$234)^2/2-MIN(($C$15/2-0.35*$B$10),$F$234)^3/3)))-1.35*($E$6*$E$15+$I$6*MAX($G$6-$E$15,0))*$D$15*($C$15/2-0.35*$B$10)^2/2</f>
        <v>5.0012428153846162</v>
      </c>
      <c r="I234" s="15">
        <f>MAX($H$234,0)/($D$15*$F$15^2*$H$8*1000)</f>
        <v>2.3082278290337205E-3</v>
      </c>
      <c r="J234" s="3">
        <f>IF($H$234&lt;=0,0,IF($I$234&gt;=0.5,"μ ≥ 0,5",10*$H$234/($F$15*(1-0.4*1.25*(1-SQRT(1-2*$I$234)))*$E$8)))</f>
        <v>0.41968530671424314</v>
      </c>
      <c r="K234" s="10">
        <f>MAX(N($E$234),N($J$234))</f>
        <v>0.51174790451895047</v>
      </c>
    </row>
    <row r="235" spans="2:11" x14ac:dyDescent="0.25">
      <c r="B235" s="7" t="s">
        <v>71</v>
      </c>
      <c r="C235" s="3">
        <f>$E$33+1*$F$51</f>
        <v>48.2</v>
      </c>
      <c r="D235" s="5">
        <f>IF($C$235&gt;0,ABS($E$68)/$C$235,"—")</f>
        <v>0</v>
      </c>
      <c r="E235" s="3">
        <f>IF($C$235&lt;=0,"—",IF($D$235&lt;=$C$15/6+0.000001,10*$C$235*(1+3*$D$235/$C$15)*($C$15-$B$10)/(8*$F$15*$G$8),"—"))</f>
        <v>0.78404884031584177</v>
      </c>
      <c r="F235" s="5">
        <f>IF($D$68&lt;=0,0,IF(ABS($E$68)/$D$68&lt;=$C$15/6+0.000001,$C$15,3*($C$15/2-ABS($E$68)/$D$68)))</f>
        <v>1.3</v>
      </c>
      <c r="G235" s="14">
        <f>IF($D$68&lt;=0,0,IF(ABS($E$68)/$D$68&lt;=$C$15/6+0.000001,$D$68/($C$15*$D$15)*(1+6*ABS($E$68)/$D$68/$C$15),2*$D$68/($D$15*$F$235)))</f>
        <v>56.446153846153841</v>
      </c>
      <c r="H235" s="3">
        <f>IF($D$68&lt;=0,0,$D$15*($G$235*(($C$15/2-0.35*$B$10)*MIN(($C$15/2-0.35*$B$10),$F$235)-MIN(($C$15/2-0.35*$B$10),$F$235)^2/2)-IF(ABS($E$68)/$D$68&lt;=$C$15/6+0.000001,12*$D$68*ABS($E$68)/$D$68/($D$15*$C$15^3),$G$235/$F$235)*(($C$15/2-0.35*$B$10)*MIN(($C$15/2-0.35*$B$10),$F$235)^2/2-MIN(($C$15/2-0.35*$B$10),$F$235)^3/3)))-1*($E$6*$E$15+$I$6*MAX($G$6-$E$15,0))*$D$15*($C$15/2-0.35*$B$10)^2/2</f>
        <v>4.5049319999999993</v>
      </c>
      <c r="I235" s="15">
        <f>MAX($H$235,0)/($D$15*$F$15^2*$G$8*1000)</f>
        <v>1.4608119860989386E-4</v>
      </c>
      <c r="J235" s="3">
        <f>IF($H$235&lt;=0,0,10*$H$235/($F$15*(1-(1+2*SQRT((3+90*$I$235)/3)*COS(ACOS((3/(3+90*$I$235))*SQRT(3/(3+90*$I$235)))/3-2*PI()/3))/3)*$G$8))</f>
        <v>0.6657391153313077</v>
      </c>
      <c r="K235" s="10">
        <f>MAX(N($E$235),N($J$235))</f>
        <v>0.78404884031584177</v>
      </c>
    </row>
    <row r="236" spans="2:11" x14ac:dyDescent="0.25">
      <c r="B236" s="7" t="s">
        <v>73</v>
      </c>
      <c r="C236" s="3">
        <f>$E$34+1*$F$51</f>
        <v>40.200000000000003</v>
      </c>
      <c r="D236" s="5">
        <f>IF($C$236&gt;0,ABS($E$69)/$C$236,"—")</f>
        <v>0</v>
      </c>
      <c r="E236" s="3">
        <f>IF($C$236&lt;=0,"—",IF($D$236&lt;=$C$15/6+0.000001,10*$C$236*(1+3*$D$236/$C$15)*($C$15-$B$10)/(8*$F$15*$G$8),"—"))</f>
        <v>0.65391625271155274</v>
      </c>
      <c r="F236" s="5">
        <f>IF($D$69&lt;=0,0,IF(ABS($E$69)/$D$69&lt;=$C$15/6+0.000001,$C$15,3*($C$15/2-ABS($E$69)/$D$69)))</f>
        <v>1.3</v>
      </c>
      <c r="G236" s="14">
        <f>IF($D$69&lt;=0,0,IF(ABS($E$69)/$D$69&lt;=$C$15/6+0.000001,$D$69/($C$15*$D$15)*(1+6*ABS($E$69)/$D$69/$C$15),2*$D$69/($D$15*$F$236)))</f>
        <v>51.712426035502958</v>
      </c>
      <c r="H236" s="3">
        <f>IF($D$69&lt;=0,0,$D$15*($G$236*(($C$15/2-0.35*$B$10)*MIN(($C$15/2-0.35*$B$10),$F$236)-MIN(($C$15/2-0.35*$B$10),$F$236)^2/2)-IF(ABS($E$69)/$D$69&lt;=$C$15/6+0.000001,12*$D$69*ABS($E$69)/$D$69/($D$15*$C$15^3),$G$236/$F$236)*(($C$15/2-0.35*$B$10)*MIN(($C$15/2-0.35*$B$10),$F$236)^2/2-MIN(($C$15/2-0.35*$B$10),$F$236)^3/3)))-1*($E$6*$E$15+$I$6*MAX($G$6-$E$15,0))*$D$15*($C$15/2-0.35*$B$10)^2/2</f>
        <v>3.7046243076923071</v>
      </c>
      <c r="I236" s="15">
        <f>MAX($H$236,0)/($D$15*$F$15^2*$G$8*1000)</f>
        <v>1.2012966217182425E-4</v>
      </c>
      <c r="J236" s="3">
        <f>IF($H$236&lt;=0,0,10*$H$236/($F$15*(1-(1+2*SQRT((3+90*$I$236)/3)*COS(ACOS((3/(3+90*$I$236))*SQRT(3/(3+90*$I$236)))/3-2*PI()/3))/3)*$G$8))</f>
        <v>0.5463705950104818</v>
      </c>
      <c r="K236" s="10">
        <f>MAX(N($E$236),N($J$236))</f>
        <v>0.65391625271155274</v>
      </c>
    </row>
    <row r="237" spans="2:11" x14ac:dyDescent="0.25">
      <c r="B237" s="7" t="s">
        <v>74</v>
      </c>
      <c r="C237" s="3">
        <f>$E$35+1*$F$51</f>
        <v>10.199999999999999</v>
      </c>
      <c r="D237" s="5">
        <f>IF($C$237&gt;0,ABS($E$70)/$C$237,"—")</f>
        <v>0</v>
      </c>
      <c r="E237" s="3">
        <f>IF($C$237&lt;=0,"—",IF($D$237&lt;=$C$15/6+0.000001,10*$C$237*(1+3*$D$237/$C$15)*($C$15-$B$10)/(8*$F$15*$G$8),"—"))</f>
        <v>0.16591904919546857</v>
      </c>
      <c r="F237" s="5">
        <f>IF($D$70&lt;=0,0,IF(ABS($E$70)/$D$70&lt;=$C$15/6+0.000001,$C$15,3*($C$15/2-ABS($E$70)/$D$70)))</f>
        <v>1.3</v>
      </c>
      <c r="G237" s="14">
        <f>IF($D$70&lt;=0,0,IF(ABS($E$70)/$D$70&lt;=$C$15/6+0.000001,$D$70/($C$15*$D$15)*(1+6*ABS($E$70)/$D$70/$C$15),2*$D$70/($D$15*$F$237)))</f>
        <v>33.960946745562133</v>
      </c>
      <c r="H237" s="3">
        <f>IF($D$70&lt;=0,0,$D$15*($G$237*(($C$15/2-0.35*$B$10)*MIN(($C$15/2-0.35*$B$10),$F$237)-MIN(($C$15/2-0.35*$B$10),$F$237)^2/2)-IF(ABS($E$70)/$D$70&lt;=$C$15/6+0.000001,12*$D$70*ABS($E$70)/$D$70/($D$15*$C$15^3),$G$237/$F$237)*(($C$15/2-0.35*$B$10)*MIN(($C$15/2-0.35*$B$10),$F$237)^2/2-MIN(($C$15/2-0.35*$B$10),$F$237)^3/3)))-1*($E$6*$E$15+$I$6*MAX($G$6-$E$15,0))*$D$15*($C$15/2-0.35*$B$10)^2/2</f>
        <v>0.70347046153846193</v>
      </c>
      <c r="I237" s="15">
        <f>MAX($H$237,0)/($D$15*$F$15^2*$G$8*1000)</f>
        <v>2.2811400529063209E-5</v>
      </c>
      <c r="J237" s="3">
        <f>IF($H$237&lt;=0,0,10*$H$237/($F$15*(1-(1+2*SQRT((3+90*$I$237)/3)*COS(ACOS((3/(3+90*$I$237))*SQRT(3/(3+90*$I$237)))/3-2*PI()/3))/3)*$G$8))</f>
        <v>0.10260289472658592</v>
      </c>
      <c r="K237" s="10">
        <f>MAX(N($E$237),N($J$237))</f>
        <v>0.16591904919546857</v>
      </c>
    </row>
    <row r="238" spans="2:11" x14ac:dyDescent="0.25">
      <c r="B238" s="7" t="s">
        <v>75</v>
      </c>
      <c r="C238" s="3">
        <f>$E$36+1*$F$51</f>
        <v>40.200000000000003</v>
      </c>
      <c r="D238" s="5">
        <f>IF($C$238&gt;0,ABS($E$71)/$C$238,"—")</f>
        <v>0</v>
      </c>
      <c r="E238" s="3">
        <f>IF($C$238&lt;=0,"—",IF($D$238&lt;=$C$15/6+0.000001,10*$C$238*(1+3*$D$238/$C$15)*($C$15-$B$10)/(8*$F$15*$G$8),"—"))</f>
        <v>0.65391625271155274</v>
      </c>
      <c r="F238" s="5">
        <f>IF($D$71&lt;=0,0,IF(ABS($E$71)/$D$71&lt;=$C$15/6+0.000001,$C$15,3*($C$15/2-ABS($E$71)/$D$71)))</f>
        <v>1.3</v>
      </c>
      <c r="G238" s="14">
        <f>IF($D$71&lt;=0,0,IF(ABS($E$71)/$D$71&lt;=$C$15/6+0.000001,$D$71/($C$15*$D$15)*(1+6*ABS($E$71)/$D$71/$C$15),2*$D$71/($D$15*$F$238)))</f>
        <v>51.712426035502958</v>
      </c>
      <c r="H238" s="3">
        <f>IF($D$71&lt;=0,0,$D$15*($G$238*(($C$15/2-0.35*$B$10)*MIN(($C$15/2-0.35*$B$10),$F$238)-MIN(($C$15/2-0.35*$B$10),$F$238)^2/2)-IF(ABS($E$71)/$D$71&lt;=$C$15/6+0.000001,12*$D$71*ABS($E$71)/$D$71/($D$15*$C$15^3),$G$238/$F$238)*(($C$15/2-0.35*$B$10)*MIN(($C$15/2-0.35*$B$10),$F$238)^2/2-MIN(($C$15/2-0.35*$B$10),$F$238)^3/3)))-1*($E$6*$E$15+$I$6*MAX($G$6-$E$15,0))*$D$15*($C$15/2-0.35*$B$10)^2/2</f>
        <v>3.7046243076923071</v>
      </c>
      <c r="I238" s="15">
        <f>MAX($H$238,0)/($D$15*$F$15^2*$G$8*1000)</f>
        <v>1.2012966217182425E-4</v>
      </c>
      <c r="J238" s="3">
        <f>IF($H$238&lt;=0,0,10*$H$238/($F$15*(1-(1+2*SQRT((3+90*$I$238)/3)*COS(ACOS((3/(3+90*$I$238))*SQRT(3/(3+90*$I$238)))/3-2*PI()/3))/3)*$G$8))</f>
        <v>0.5463705950104818</v>
      </c>
      <c r="K238" s="10">
        <f>MAX(N($E$238),N($J$238))</f>
        <v>0.65391625271155274</v>
      </c>
    </row>
    <row r="239" spans="2:11" x14ac:dyDescent="0.25">
      <c r="B239" s="7" t="s">
        <v>76</v>
      </c>
      <c r="C239" s="3">
        <f>$E$37+1*$F$51</f>
        <v>20.399999999999999</v>
      </c>
      <c r="D239" s="5">
        <f>IF($C$239&gt;0,ABS($E$72)/$C$239,"—")</f>
        <v>0</v>
      </c>
      <c r="E239" s="3">
        <f>IF($C$239&lt;=0,"—",IF($D$239&lt;=$C$15/6+0.000001,10*$C$239*(1+3*$D$239/$C$15)*($C$15-$B$10)/(8*$F$15*$G$8),"—"))</f>
        <v>0.33183809839093714</v>
      </c>
      <c r="F239" s="5">
        <f>IF($D$72&lt;=0,0,IF(ABS($E$72)/$D$72&lt;=$C$15/6+0.000001,$C$15,3*($C$15/2-ABS($E$72)/$D$72)))</f>
        <v>1.3</v>
      </c>
      <c r="G239" s="14">
        <f>IF($D$72&lt;=0,0,IF(ABS($E$72)/$D$72&lt;=$C$15/6+0.000001,$D$72/($C$15*$D$15)*(1+6*ABS($E$72)/$D$72/$C$15),2*$D$72/($D$15*$F$239)))</f>
        <v>39.996449704142016</v>
      </c>
      <c r="H239" s="3">
        <f>IF($D$72&lt;=0,0,$D$15*($G$239*(($C$15/2-0.35*$B$10)*MIN(($C$15/2-0.35*$B$10),$F$239)-MIN(($C$15/2-0.35*$B$10),$F$239)^2/2)-IF(ABS($E$72)/$D$72&lt;=$C$15/6+0.000001,12*$D$72*ABS($E$72)/$D$72/($D$15*$C$15^3),$G$239/$F$239)*(($C$15/2-0.35*$B$10)*MIN(($C$15/2-0.35*$B$10),$F$239)^2/2-MIN(($C$15/2-0.35*$B$10),$F$239)^3/3)))-1*($E$6*$E$15+$I$6*MAX($G$6-$E$15,0))*$D$15*($C$15/2-0.35*$B$10)^2/2</f>
        <v>1.7238627692307702</v>
      </c>
      <c r="I239" s="15">
        <f>MAX($H$239,0)/($D$15*$F$15^2*$G$8*1000)</f>
        <v>5.5899609487601991E-5</v>
      </c>
      <c r="J239" s="3">
        <f>IF($H$239&lt;=0,0,10*$H$239/($F$15*(1-(1+2*SQRT((3+90*$I$239)/3)*COS(ACOS((3/(3+90*$I$239))*SQRT(3/(3+90*$I$239)))/3-2*PI()/3))/3)*$G$8))</f>
        <v>0.25265783580657281</v>
      </c>
      <c r="K239" s="10">
        <f>MAX(N($E$239),N($J$239))</f>
        <v>0.33183809839093714</v>
      </c>
    </row>
    <row r="240" spans="2:11" x14ac:dyDescent="0.25">
      <c r="B240" s="7" t="s">
        <v>77</v>
      </c>
      <c r="C240" s="3">
        <f>$E$38+1*$F$51</f>
        <v>47.400000000000006</v>
      </c>
      <c r="D240" s="5">
        <f>IF($C$240&gt;0,ABS($E$73)/$C$240,"—")</f>
        <v>0</v>
      </c>
      <c r="E240" s="3">
        <f>IF($C$240&lt;=0,"—",IF($D$240&lt;=$C$15/6+0.000001,10*$C$240*(1+3*$D$240/$C$15)*($C$15-$B$10)/(8*$F$15*$G$8),"—"))</f>
        <v>0.77103558155541296</v>
      </c>
      <c r="F240" s="5">
        <f>IF($D$73&lt;=0,0,IF(ABS($E$73)/$D$73&lt;=$C$15/6+0.000001,$C$15,3*($C$15/2-ABS($E$73)/$D$73)))</f>
        <v>1.3</v>
      </c>
      <c r="G240" s="14">
        <f>IF($D$73&lt;=0,0,IF(ABS($E$73)/$D$73&lt;=$C$15/6+0.000001,$D$73/($C$15*$D$15)*(1+6*ABS($E$73)/$D$73/$C$15),2*$D$73/($D$15*$F$240)))</f>
        <v>55.972781065088753</v>
      </c>
      <c r="H240" s="3">
        <f>IF($D$73&lt;=0,0,$D$15*($G$240*(($C$15/2-0.35*$B$10)*MIN(($C$15/2-0.35*$B$10),$F$240)-MIN(($C$15/2-0.35*$B$10),$F$240)^2/2)-IF(ABS($E$73)/$D$73&lt;=$C$15/6+0.000001,12*$D$73*ABS($E$73)/$D$73/($D$15*$C$15^3),$G$240/$F$240)*(($C$15/2-0.35*$B$10)*MIN(($C$15/2-0.35*$B$10),$F$240)^2/2-MIN(($C$15/2-0.35*$B$10),$F$240)^3/3)))-1*($E$6*$E$15+$I$6*MAX($G$6-$E$15,0))*$D$15*($C$15/2-0.35*$B$10)^2/2</f>
        <v>4.4249012307692306</v>
      </c>
      <c r="I240" s="15">
        <f>MAX($H$240,0)/($D$15*$F$15^2*$G$8*1000)</f>
        <v>1.4348604496608691E-4</v>
      </c>
      <c r="J240" s="3">
        <f>IF($H$240&lt;=0,0,10*$H$240/($F$15*(1-(1+2*SQRT((3+90*$I$240)/3)*COS(ACOS((3/(3+90*$I$240))*SQRT(3/(3+90*$I$240)))/3-2*PI()/3))/3)*$G$8))</f>
        <v>0.65378647279323632</v>
      </c>
      <c r="K240" s="10">
        <f>MAX(N($E$240),N($J$240))</f>
        <v>0.77103558155541296</v>
      </c>
    </row>
    <row r="241" spans="2:11" x14ac:dyDescent="0.25">
      <c r="B241" s="7" t="s">
        <v>78</v>
      </c>
      <c r="C241" s="3">
        <f>$E$39+1*$F$51</f>
        <v>53.400000000000006</v>
      </c>
      <c r="D241" s="5">
        <f>IF($C$241&gt;0,ABS($E$74)/$C$241,"—")</f>
        <v>0.68764044943820213</v>
      </c>
      <c r="E241" s="3" t="str">
        <f>IF($C$241&lt;=0,"—",IF($D$241&lt;=$C$15/6+0.000001,10*$C$241*(1+3*$D$241/$C$15)*($C$15-$B$10)/(8*$F$15*$F$8),"—"))</f>
        <v>—</v>
      </c>
      <c r="F241" s="5">
        <f>IF($D$74&lt;=0,0,IF(ABS($E$74)/$D$74&lt;=$C$15/6+0.000001,$C$15,3*($C$15/2-ABS($E$74)/$D$74)))</f>
        <v>0.85490486510129848</v>
      </c>
      <c r="G241" s="14">
        <f>IF($D$74&lt;=0,0,IF(ABS($E$74)/$D$74&lt;=$C$15/6+0.000001,$D$74/($C$15*$D$15)*(1+6*ABS($E$74)/$D$74/$C$15),2*$D$74/($D$15*$F$241)))</f>
        <v>181.02599051376592</v>
      </c>
      <c r="H241" s="3">
        <f>IF($D$74&lt;=0,0,$D$15*($G$241*(($C$15/2-0.35*$B$10)*MIN(($C$15/2-0.35*$B$10),$F$241)-MIN(($C$15/2-0.35*$B$10),$F$241)^2/2)-IF(ABS($E$74)/$D$74&lt;=$C$15/6+0.000001,12*$D$74*ABS($E$74)/$D$74/($D$15*$C$15^3),$G$241/$F$241)*(($C$15/2-0.35*$B$10)*MIN(($C$15/2-0.35*$B$10),$F$241)^2/2-MIN(($C$15/2-0.35*$B$10),$F$241)^3/3)))-1*($E$6*$E$15+$I$6*MAX($G$6-$E$15,0))*$D$15*($C$15/2-0.35*$B$10)^2/2</f>
        <v>19.481108603849229</v>
      </c>
      <c r="I241" s="15">
        <f>MAX($H$241,0)/($D$15*$F$15^2*$I$8*1000)</f>
        <v>7.192906032317873E-3</v>
      </c>
      <c r="J241" s="3">
        <f>IF($H$241&lt;=0,0,IF($I$241&gt;=0.5,"μ ≥ 0,5",10*$H$241/($F$15*(1-0.4*1.25*(1-SQRT(1-2*$I$241)))*$F$8)))</f>
        <v>1.4250495647742587</v>
      </c>
      <c r="K241" s="10">
        <f>MAX(N($E$241),N($J$241))</f>
        <v>1.4250495647742587</v>
      </c>
    </row>
    <row r="242" spans="2:11" x14ac:dyDescent="0.25">
      <c r="B242" s="7" t="s">
        <v>80</v>
      </c>
      <c r="C242" s="3">
        <f>$E$40+1*$F$51</f>
        <v>53.400000000000006</v>
      </c>
      <c r="D242" s="5">
        <f>IF($C$242&gt;0,ABS($E$75)/$C$242,"—")</f>
        <v>0.68764044943820213</v>
      </c>
      <c r="E242" s="3" t="str">
        <f>IF($C$242&lt;=0,"—",IF($D$242&lt;=$C$15/6+0.000001,10*$C$242*(1+3*$D$242/$C$15)*($C$15-$B$10)/(8*$F$15*$F$8),"—"))</f>
        <v>—</v>
      </c>
      <c r="F242" s="5">
        <f>IF($D$75&lt;=0,0,IF(ABS($E$75)/$D$75&lt;=$C$15/6+0.000001,$C$15,3*($C$15/2-ABS($E$75)/$D$75)))</f>
        <v>0.85490486510129848</v>
      </c>
      <c r="G242" s="14">
        <f>IF($D$75&lt;=0,0,IF(ABS($E$75)/$D$75&lt;=$C$15/6+0.000001,$D$75/($C$15*$D$15)*(1+6*ABS($E$75)/$D$75/$C$15),2*$D$75/($D$15*$F$242)))</f>
        <v>181.02599051376592</v>
      </c>
      <c r="H242" s="3">
        <f>IF($D$75&lt;=0,0,$D$15*($G$242*(($C$15/2-0.35*$B$10)*MIN(($C$15/2-0.35*$B$10),$F$242)-MIN(($C$15/2-0.35*$B$10),$F$242)^2/2)-IF(ABS($E$75)/$D$75&lt;=$C$15/6+0.000001,12*$D$75*ABS($E$75)/$D$75/($D$15*$C$15^3),$G$242/$F$242)*(($C$15/2-0.35*$B$10)*MIN(($C$15/2-0.35*$B$10),$F$242)^2/2-MIN(($C$15/2-0.35*$B$10),$F$242)^3/3)))-1*($E$6*$E$15+$I$6*MAX($G$6-$E$15,0))*$D$15*($C$15/2-0.35*$B$10)^2/2</f>
        <v>19.481108603849229</v>
      </c>
      <c r="I242" s="15">
        <f>MAX($H$242,0)/($D$15*$F$15^2*$I$8*1000)</f>
        <v>7.192906032317873E-3</v>
      </c>
      <c r="J242" s="3">
        <f>IF($H$242&lt;=0,0,IF($I$242&gt;=0.5,"μ ≥ 0,5",10*$H$242/($F$15*(1-0.4*1.25*(1-SQRT(1-2*$I$242)))*$F$8)))</f>
        <v>1.4250495647742587</v>
      </c>
      <c r="K242" s="10">
        <f>MAX(N($E$242),N($J$242))</f>
        <v>1.4250495647742587</v>
      </c>
    </row>
    <row r="243" spans="2:11" x14ac:dyDescent="0.25">
      <c r="B243" s="7" t="s">
        <v>81</v>
      </c>
      <c r="C243" s="3">
        <f>$E$41+1*$F$51</f>
        <v>45.84</v>
      </c>
      <c r="D243" s="5">
        <f>IF($C$243&gt;0,ABS($E$76)/$C$243,"—")</f>
        <v>0.24031413612565444</v>
      </c>
      <c r="E243" s="3" t="str">
        <f>IF($C$243&lt;=0,"—",IF($D$243&lt;=$C$15/6+0.000001,10*$C$243*(1+3*$D$243/$C$15)*($C$15-$B$10)/(8*$F$15*$F$8),"—"))</f>
        <v>—</v>
      </c>
      <c r="F243" s="5">
        <f>IF($D$76&lt;=0,0,IF(ABS($E$76)/$D$76&lt;=$C$15/6+0.000001,$C$15,3*($C$15/2-ABS($E$76)/$D$76)))</f>
        <v>1.3</v>
      </c>
      <c r="G243" s="14">
        <f>IF($D$76&lt;=0,0,IF(ABS($E$76)/$D$76&lt;=$C$15/6+0.000001,$D$76/($C$15*$D$15)*(1+6*ABS($E$76)/$D$76/$C$15),2*$D$76/($D$15*$F$243)))</f>
        <v>85.134365043240777</v>
      </c>
      <c r="H243" s="3">
        <f>IF($D$76&lt;=0,0,$D$15*($G$243*(($C$15/2-0.35*$B$10)*MIN(($C$15/2-0.35*$B$10),$F$243)-MIN(($C$15/2-0.35*$B$10),$F$243)^2/2)-IF(ABS($E$76)/$D$76&lt;=$C$15/6+0.000001,12*$D$76*ABS($E$76)/$D$76/($D$15*$C$15^3),$G$243/$F$243)*(($C$15/2-0.35*$B$10)*MIN(($C$15/2-0.35*$B$10),$F$243)^2/2-MIN(($C$15/2-0.35*$B$10),$F$243)^3/3)))-1*($E$6*$E$15+$I$6*MAX($G$6-$E$15,0))*$D$15*($C$15/2-0.35*$B$10)^2/2</f>
        <v>8.0248509749658616</v>
      </c>
      <c r="I243" s="15">
        <f>MAX($H$243,0)/($D$15*$F$15^2*$I$8*1000)</f>
        <v>2.9629730093942781E-3</v>
      </c>
      <c r="J243" s="3">
        <f>IF($H$243&lt;=0,0,IF($I$243&gt;=0.5,"μ ≥ 0,5",10*$H$243/($F$15*(1-0.4*1.25*(1-SQRT(1-2*$I$243)))*$F$8)))</f>
        <v>0.58577077553353385</v>
      </c>
      <c r="K243" s="10">
        <f>MAX(N($E$243),N($J$243))</f>
        <v>0.58577077553353385</v>
      </c>
    </row>
    <row r="244" spans="2:11" x14ac:dyDescent="0.25">
      <c r="B244" s="7" t="s">
        <v>82</v>
      </c>
      <c r="C244" s="3">
        <f>$E$42+1*$F$51</f>
        <v>45.84</v>
      </c>
      <c r="D244" s="5">
        <f>IF($C$244&gt;0,ABS($E$77)/$C$244,"—")</f>
        <v>0.24031413612565444</v>
      </c>
      <c r="E244" s="3" t="str">
        <f>IF($C$244&lt;=0,"—",IF($D$244&lt;=$C$15/6+0.000001,10*$C$244*(1+3*$D$244/$C$15)*($C$15-$B$10)/(8*$F$15*$F$8),"—"))</f>
        <v>—</v>
      </c>
      <c r="F244" s="5">
        <f>IF($D$77&lt;=0,0,IF(ABS($E$77)/$D$77&lt;=$C$15/6+0.000001,$C$15,3*($C$15/2-ABS($E$77)/$D$77)))</f>
        <v>1.3</v>
      </c>
      <c r="G244" s="14">
        <f>IF($D$77&lt;=0,0,IF(ABS($E$77)/$D$77&lt;=$C$15/6+0.000001,$D$77/($C$15*$D$15)*(1+6*ABS($E$77)/$D$77/$C$15),2*$D$77/($D$15*$F$244)))</f>
        <v>85.134365043240777</v>
      </c>
      <c r="H244" s="3">
        <f>IF($D$77&lt;=0,0,$D$15*($G$244*(($C$15/2-0.35*$B$10)*MIN(($C$15/2-0.35*$B$10),$F$244)-MIN(($C$15/2-0.35*$B$10),$F$244)^2/2)-IF(ABS($E$77)/$D$77&lt;=$C$15/6+0.000001,12*$D$77*ABS($E$77)/$D$77/($D$15*$C$15^3),$G$244/$F$244)*(($C$15/2-0.35*$B$10)*MIN(($C$15/2-0.35*$B$10),$F$244)^2/2-MIN(($C$15/2-0.35*$B$10),$F$244)^3/3)))-1*($E$6*$E$15+$I$6*MAX($G$6-$E$15,0))*$D$15*($C$15/2-0.35*$B$10)^2/2</f>
        <v>8.0248509749658616</v>
      </c>
      <c r="I244" s="15">
        <f>MAX($H$244,0)/($D$15*$F$15^2*$I$8*1000)</f>
        <v>2.9629730093942781E-3</v>
      </c>
      <c r="J244" s="3">
        <f>IF($H$244&lt;=0,0,IF($I$244&gt;=0.5,"μ ≥ 0,5",10*$H$244/($F$15*(1-0.4*1.25*(1-SQRT(1-2*$I$244)))*$F$8)))</f>
        <v>0.58577077553353385</v>
      </c>
      <c r="K244" s="10">
        <f>MAX(N($E$244),N($J$244))</f>
        <v>0.58577077553353385</v>
      </c>
    </row>
    <row r="245" spans="2:11" x14ac:dyDescent="0.25">
      <c r="B245" s="7" t="s">
        <v>83</v>
      </c>
      <c r="C245" s="3">
        <f>$E$43+1*$F$51</f>
        <v>31.8</v>
      </c>
      <c r="D245" s="5">
        <f>IF($C$245&gt;0,ABS($E$78)/$C$245,"—")</f>
        <v>1.1547169811320754</v>
      </c>
      <c r="E245" s="3" t="str">
        <f>IF($C$245&lt;=0,"—",IF($D$245&lt;=$C$15/6+0.000001,10*$C$245*(1+3*$D$245/$C$15)*($C$15-$B$10)/(8*$F$15*$F$8),"—"))</f>
        <v>—</v>
      </c>
      <c r="F245" s="5">
        <f>IF($D$78&lt;=0,0,IF(ABS($E$78)/$D$78&lt;=$C$15/6+0.000001,$C$15,3*($C$15/2-ABS($E$78)/$D$78)))</f>
        <v>0.5554637061042611</v>
      </c>
      <c r="G245" s="14">
        <f>IF($D$78&lt;=0,0,IF(ABS($E$78)/$D$78&lt;=$C$15/6+0.000001,$D$78/($C$15*$D$15)*(1+6*ABS($E$78)/$D$78/$C$15),2*$D$78/($D$15*$F$245)))</f>
        <v>218.78878751876474</v>
      </c>
      <c r="H245" s="3">
        <f>IF($D$78&lt;=0,0,$D$15*($G$245*(($C$15/2-0.35*$B$10)*MIN(($C$15/2-0.35*$B$10),$F$245)-MIN(($C$15/2-0.35*$B$10),$F$245)^2/2)-IF(ABS($E$78)/$D$78&lt;=$C$15/6+0.000001,12*$D$78*ABS($E$78)/$D$78/($D$15*$C$15^3),$G$245/$F$245)*(($C$15/2-0.35*$B$10)*MIN(($C$15/2-0.35*$B$10),$F$245)^2/2-MIN(($C$15/2-0.35*$B$10),$F$245)^3/3)))-1*($E$6*$E$15+$I$6*MAX($G$6-$E$15,0))*$D$15*($C$15/2-0.35*$B$10)^2/2</f>
        <v>20.630722660486164</v>
      </c>
      <c r="I245" s="15">
        <f>MAX($H$245,0)/($D$15*$F$15^2*$I$8*1000)</f>
        <v>7.6173719110814346E-3</v>
      </c>
      <c r="J245" s="3">
        <f>IF($H$245&lt;=0,0,IF($I$245&gt;=0.5,"μ ≥ 0,5",10*$H$245/($F$15*(1-0.4*1.25*(1-SQRT(1-2*$I$245)))*$F$8)))</f>
        <v>1.509468141905999</v>
      </c>
      <c r="K245" s="10">
        <f>MAX(N($E$245),N($J$245))</f>
        <v>1.509468141905999</v>
      </c>
    </row>
    <row r="246" spans="2:11" x14ac:dyDescent="0.25">
      <c r="B246" s="7" t="s">
        <v>84</v>
      </c>
      <c r="C246" s="3">
        <f>$E$44+1*$F$51</f>
        <v>31.8</v>
      </c>
      <c r="D246" s="5">
        <f>IF($C$246&gt;0,ABS($E$79)/$C$246,"—")</f>
        <v>1.1547169811320754</v>
      </c>
      <c r="E246" s="3" t="str">
        <f>IF($C$246&lt;=0,"—",IF($D$246&lt;=$C$15/6+0.000001,10*$C$246*(1+3*$D$246/$C$15)*($C$15-$B$10)/(8*$F$15*$F$8),"—"))</f>
        <v>—</v>
      </c>
      <c r="F246" s="5">
        <f>IF($D$79&lt;=0,0,IF(ABS($E$79)/$D$79&lt;=$C$15/6+0.000001,$C$15,3*($C$15/2-ABS($E$79)/$D$79)))</f>
        <v>0.5554637061042611</v>
      </c>
      <c r="G246" s="14">
        <f>IF($D$79&lt;=0,0,IF(ABS($E$79)/$D$79&lt;=$C$15/6+0.000001,$D$79/($C$15*$D$15)*(1+6*ABS($E$79)/$D$79/$C$15),2*$D$79/($D$15*$F$246)))</f>
        <v>218.78878751876474</v>
      </c>
      <c r="H246" s="3">
        <f>IF($D$79&lt;=0,0,$D$15*($G$246*(($C$15/2-0.35*$B$10)*MIN(($C$15/2-0.35*$B$10),$F$246)-MIN(($C$15/2-0.35*$B$10),$F$246)^2/2)-IF(ABS($E$79)/$D$79&lt;=$C$15/6+0.000001,12*$D$79*ABS($E$79)/$D$79/($D$15*$C$15^3),$G$246/$F$246)*(($C$15/2-0.35*$B$10)*MIN(($C$15/2-0.35*$B$10),$F$246)^2/2-MIN(($C$15/2-0.35*$B$10),$F$246)^3/3)))-1*($E$6*$E$15+$I$6*MAX($G$6-$E$15,0))*$D$15*($C$15/2-0.35*$B$10)^2/2</f>
        <v>20.630722660486164</v>
      </c>
      <c r="I246" s="15">
        <f>MAX($H$246,0)/($D$15*$F$15^2*$I$8*1000)</f>
        <v>7.6173719110814346E-3</v>
      </c>
      <c r="J246" s="3">
        <f>IF($H$246&lt;=0,0,IF($I$246&gt;=0.5,"μ ≥ 0,5",10*$H$246/($F$15*(1-0.4*1.25*(1-SQRT(1-2*$I$246)))*$F$8)))</f>
        <v>1.509468141905999</v>
      </c>
      <c r="K246" s="10">
        <f>MAX(N($E$246),N($J$246))</f>
        <v>1.509468141905999</v>
      </c>
    </row>
    <row r="247" spans="2:11" x14ac:dyDescent="0.25">
      <c r="B247" s="7" t="s">
        <v>85</v>
      </c>
      <c r="C247" s="3">
        <f>$E$45+1*$F$51</f>
        <v>39.36</v>
      </c>
      <c r="D247" s="5">
        <f>IF($C$247&gt;0,ABS($E$80)/$C$247,"—")</f>
        <v>0.27987804878048783</v>
      </c>
      <c r="E247" s="3" t="str">
        <f>IF($C$247&lt;=0,"—",IF($D$247&lt;=$C$15/6+0.000001,10*$C$247*(1+3*$D$247/$C$15)*($C$15-$B$10)/(8*$F$15*$F$8),"—"))</f>
        <v>—</v>
      </c>
      <c r="F247" s="5">
        <f>IF($D$80&lt;=0,0,IF(ABS($E$80)/$D$80&lt;=$C$15/6+0.000001,$C$15,3*($C$15/2-ABS($E$80)/$D$80)))</f>
        <v>1.3</v>
      </c>
      <c r="G247" s="14">
        <f>IF($D$80&lt;=0,0,IF(ABS($E$80)/$D$80&lt;=$C$15/6+0.000001,$D$80/($C$15*$D$15)*(1+6*ABS($E$80)/$D$80/$C$15),2*$D$80/($D$15*$F$247)))</f>
        <v>81.300045516613565</v>
      </c>
      <c r="H247" s="3">
        <f>IF($D$80&lt;=0,0,$D$15*($G$247*(($C$15/2-0.35*$B$10)*MIN(($C$15/2-0.35*$B$10),$F$247)-MIN(($C$15/2-0.35*$B$10),$F$247)^2/2)-IF(ABS($E$80)/$D$80&lt;=$C$15/6+0.000001,12*$D$80*ABS($E$80)/$D$80/($D$15*$C$15^3),$G$247/$F$247)*(($C$15/2-0.35*$B$10)*MIN(($C$15/2-0.35*$B$10),$F$247)^2/2-MIN(($C$15/2-0.35*$B$10),$F$247)^3/3)))-1*($E$6*$E$15+$I$6*MAX($G$6-$E$15,0))*$D$15*($C$15/2-0.35*$B$10)^2/2</f>
        <v>7.3766017441966332</v>
      </c>
      <c r="I247" s="15">
        <f>MAX($H$247,0)/($D$15*$F$15^2*$I$8*1000)</f>
        <v>2.7236233965327139E-3</v>
      </c>
      <c r="J247" s="3">
        <f>IF($H$247&lt;=0,0,IF($I$247&gt;=0.5,"μ ≥ 0,5",10*$H$247/($F$15*(1-0.4*1.25*(1-SQRT(1-2*$I$247)))*$F$8)))</f>
        <v>0.53838737175842155</v>
      </c>
      <c r="K247" s="10">
        <f>MAX(N($E$247),N($J$247))</f>
        <v>0.53838737175842155</v>
      </c>
    </row>
    <row r="248" spans="2:11" x14ac:dyDescent="0.25">
      <c r="B248" s="7" t="s">
        <v>86</v>
      </c>
      <c r="C248" s="3">
        <f>$E$46+1*$F$51</f>
        <v>39.36</v>
      </c>
      <c r="D248" s="5">
        <f>IF($C$248&gt;0,ABS($E$81)/$C$248,"—")</f>
        <v>0.27987804878048783</v>
      </c>
      <c r="E248" s="3" t="str">
        <f>IF($C$248&lt;=0,"—",IF($D$248&lt;=$C$15/6+0.000001,10*$C$248*(1+3*$D$248/$C$15)*($C$15-$B$10)/(8*$F$15*$F$8),"—"))</f>
        <v>—</v>
      </c>
      <c r="F248" s="5">
        <f>IF($D$81&lt;=0,0,IF(ABS($E$81)/$D$81&lt;=$C$15/6+0.000001,$C$15,3*($C$15/2-ABS($E$81)/$D$81)))</f>
        <v>1.3</v>
      </c>
      <c r="G248" s="14">
        <f>IF($D$81&lt;=0,0,IF(ABS($E$81)/$D$81&lt;=$C$15/6+0.000001,$D$81/($C$15*$D$15)*(1+6*ABS($E$81)/$D$81/$C$15),2*$D$81/($D$15*$F$248)))</f>
        <v>81.300045516613565</v>
      </c>
      <c r="H248" s="3">
        <f>IF($D$81&lt;=0,0,$D$15*($G$248*(($C$15/2-0.35*$B$10)*MIN(($C$15/2-0.35*$B$10),$F$248)-MIN(($C$15/2-0.35*$B$10),$F$248)^2/2)-IF(ABS($E$81)/$D$81&lt;=$C$15/6+0.000001,12*$D$81*ABS($E$81)/$D$81/($D$15*$C$15^3),$G$248/$F$248)*(($C$15/2-0.35*$B$10)*MIN(($C$15/2-0.35*$B$10),$F$248)^2/2-MIN(($C$15/2-0.35*$B$10),$F$248)^3/3)))-1*($E$6*$E$15+$I$6*MAX($G$6-$E$15,0))*$D$15*($C$15/2-0.35*$B$10)^2/2</f>
        <v>7.3766017441966332</v>
      </c>
      <c r="I248" s="15">
        <f>MAX($H$248,0)/($D$15*$F$15^2*$I$8*1000)</f>
        <v>2.7236233965327139E-3</v>
      </c>
      <c r="J248" s="3">
        <f>IF($H$248&lt;=0,0,IF($I$248&gt;=0.5,"μ ≥ 0,5",10*$H$248/($F$15*(1-0.4*1.25*(1-SQRT(1-2*$I$248)))*$F$8)))</f>
        <v>0.53838737175842155</v>
      </c>
      <c r="K248" s="10">
        <f>MAX(N($E$248),N($J$248))</f>
        <v>0.53838737175842155</v>
      </c>
    </row>
    <row r="250" spans="2:11" ht="20.100000000000001" customHeight="1" x14ac:dyDescent="0.25">
      <c r="B250" s="2" t="s">
        <v>157</v>
      </c>
      <c r="C250" s="23" t="s">
        <v>89</v>
      </c>
      <c r="D250" s="24"/>
      <c r="E250" s="25"/>
      <c r="F250" s="2" t="s">
        <v>158</v>
      </c>
      <c r="G250" s="2" t="s">
        <v>40</v>
      </c>
    </row>
    <row r="251" spans="2:11" x14ac:dyDescent="0.25">
      <c r="B251" s="16" t="s">
        <v>159</v>
      </c>
      <c r="C251" s="22" t="s">
        <v>160</v>
      </c>
      <c r="D251" s="19"/>
      <c r="E251" s="19"/>
      <c r="F251" s="3">
        <f>MAX($K$225:$K$248)</f>
        <v>1.509468141905999</v>
      </c>
      <c r="G251" s="6"/>
    </row>
    <row r="252" spans="2:11" x14ac:dyDescent="0.25">
      <c r="B252" s="16" t="s">
        <v>161</v>
      </c>
      <c r="C252" s="22" t="s">
        <v>162</v>
      </c>
      <c r="D252" s="19"/>
      <c r="E252" s="19"/>
      <c r="F252" s="3">
        <f>0.23*$D$15*$F$15*$D$6/$B$6*10000</f>
        <v>5.3842425000000009</v>
      </c>
      <c r="G252" s="6"/>
    </row>
    <row r="253" spans="2:11" x14ac:dyDescent="0.25">
      <c r="B253" s="16" t="s">
        <v>163</v>
      </c>
      <c r="C253" s="22" t="s">
        <v>164</v>
      </c>
      <c r="D253" s="19"/>
      <c r="E253" s="19"/>
      <c r="F253" s="10">
        <f>MAX($F$251,$F$252)</f>
        <v>5.3842425000000009</v>
      </c>
      <c r="G253" s="6"/>
    </row>
    <row r="254" spans="2:11" x14ac:dyDescent="0.25">
      <c r="B254" s="16" t="s">
        <v>165</v>
      </c>
      <c r="C254" s="22" t="s">
        <v>166</v>
      </c>
      <c r="D254" s="19"/>
      <c r="E254" s="19"/>
      <c r="F254" s="17">
        <v>12</v>
      </c>
      <c r="G254" s="6"/>
    </row>
    <row r="255" spans="2:11" x14ac:dyDescent="0.25">
      <c r="B255" s="16" t="s">
        <v>167</v>
      </c>
      <c r="C255" s="22" t="s">
        <v>166</v>
      </c>
      <c r="D255" s="19"/>
      <c r="E255" s="19"/>
      <c r="F255" s="8">
        <v>0.24</v>
      </c>
      <c r="G255" s="6"/>
    </row>
    <row r="256" spans="2:11" x14ac:dyDescent="0.25">
      <c r="B256" s="16" t="s">
        <v>168</v>
      </c>
      <c r="C256" s="22" t="s">
        <v>169</v>
      </c>
      <c r="D256" s="19"/>
      <c r="E256" s="19"/>
      <c r="F256" s="4">
        <f>MAX(CEILING(($D$15-2*$F$6)/$F$255-0.000000001,1)+1,2)</f>
        <v>6</v>
      </c>
      <c r="G256" s="6"/>
    </row>
    <row r="257" spans="2:11" ht="15.75" x14ac:dyDescent="0.25">
      <c r="B257" s="16" t="s">
        <v>170</v>
      </c>
      <c r="C257" s="22" t="s">
        <v>171</v>
      </c>
      <c r="D257" s="19"/>
      <c r="E257" s="19"/>
      <c r="F257" s="10">
        <f>$F$256*PI()*$F$254^2/400</f>
        <v>6.785840131753953</v>
      </c>
      <c r="G257" s="9" t="str">
        <f>IF($F$257&gt;=$F$253-0.0001,"OK","NON OK")</f>
        <v>OK</v>
      </c>
    </row>
    <row r="258" spans="2:11" ht="15.75" x14ac:dyDescent="0.25">
      <c r="B258" s="16" t="s">
        <v>172</v>
      </c>
      <c r="C258" s="22" t="s">
        <v>173</v>
      </c>
      <c r="D258" s="19"/>
      <c r="E258" s="19"/>
      <c r="F258" s="3">
        <f>MIN(2*$E$15,0.25)</f>
        <v>0.25</v>
      </c>
      <c r="G258" s="9" t="str">
        <f>IF($F$255&lt;=$F$258+0.0001,"OK","NON OK")</f>
        <v>OK</v>
      </c>
    </row>
    <row r="259" spans="2:11" x14ac:dyDescent="0.25">
      <c r="B259" s="11" t="s">
        <v>174</v>
      </c>
      <c r="C259" s="26" t="str">
        <f>$F$256&amp;" HA"&amp;$F$254&amp;"  e = "&amp;TEXT($F$255*100,"0")&amp;" cm  (As = "&amp;TEXT($F$257,"0.00")&amp;" cm²)"</f>
        <v>6 HA12  e = 24 cm  (As = 6.79 cm²)</v>
      </c>
      <c r="D259" s="27"/>
      <c r="E259" s="27"/>
      <c r="F259" s="27"/>
      <c r="G259" s="27"/>
    </row>
    <row r="260" spans="2:11" ht="15" customHeight="1" x14ac:dyDescent="0.25">
      <c r="B260" s="20" t="s">
        <v>186</v>
      </c>
      <c r="C260" s="21"/>
      <c r="D260" s="21"/>
      <c r="E260" s="21"/>
      <c r="F260" s="21"/>
      <c r="G260" s="21"/>
      <c r="H260" s="21"/>
      <c r="I260" s="21"/>
      <c r="J260" s="21"/>
      <c r="K260" s="21"/>
    </row>
    <row r="262" spans="2:11" ht="20.100000000000001" customHeight="1" x14ac:dyDescent="0.25">
      <c r="B262" s="28" t="s">
        <v>175</v>
      </c>
      <c r="C262" s="29"/>
      <c r="D262" s="29"/>
      <c r="E262" s="29"/>
      <c r="F262" s="29"/>
      <c r="G262" s="29"/>
      <c r="H262" s="29"/>
      <c r="I262" s="29"/>
      <c r="J262" s="29"/>
      <c r="K262" s="29"/>
    </row>
    <row r="263" spans="2:11" ht="15" customHeight="1" x14ac:dyDescent="0.25">
      <c r="B263" s="20" t="s">
        <v>176</v>
      </c>
      <c r="C263" s="21"/>
      <c r="D263" s="21"/>
      <c r="E263" s="21"/>
      <c r="F263" s="21"/>
      <c r="G263" s="21"/>
      <c r="H263" s="21"/>
      <c r="I263" s="21"/>
      <c r="J263" s="21"/>
      <c r="K263" s="21"/>
    </row>
    <row r="264" spans="2:11" ht="45" customHeight="1" x14ac:dyDescent="0.25">
      <c r="B264" s="20" t="s">
        <v>177</v>
      </c>
      <c r="C264" s="21"/>
      <c r="D264" s="21"/>
      <c r="E264" s="21"/>
      <c r="F264" s="21"/>
      <c r="G264" s="21"/>
      <c r="H264" s="21"/>
      <c r="I264" s="21"/>
      <c r="J264" s="21"/>
      <c r="K264" s="21"/>
    </row>
    <row r="265" spans="2:11" ht="32.1" customHeight="1" x14ac:dyDescent="0.25">
      <c r="B265" s="2" t="s">
        <v>51</v>
      </c>
      <c r="C265" s="2" t="s">
        <v>141</v>
      </c>
      <c r="D265" s="2" t="s">
        <v>149</v>
      </c>
      <c r="E265" s="2" t="s">
        <v>150</v>
      </c>
      <c r="F265" s="2" t="s">
        <v>151</v>
      </c>
      <c r="G265" s="2" t="s">
        <v>152</v>
      </c>
      <c r="H265" s="2" t="s">
        <v>153</v>
      </c>
      <c r="I265" s="2" t="s">
        <v>154</v>
      </c>
      <c r="J265" s="2" t="s">
        <v>155</v>
      </c>
      <c r="K265" s="2" t="s">
        <v>156</v>
      </c>
    </row>
    <row r="266" spans="2:11" x14ac:dyDescent="0.25">
      <c r="B266" s="7" t="s">
        <v>59</v>
      </c>
      <c r="C266" s="3">
        <f>$E$23+1.35*$F$51</f>
        <v>66.27</v>
      </c>
      <c r="D266" s="5">
        <f>IF($C$266&gt;0,ABS($F$58)/$C$266,"—")</f>
        <v>0.10389316432775011</v>
      </c>
      <c r="E266" s="3">
        <f>IF($C$266&lt;=0,"—",IF($D$266&lt;=$D$15/6+0.000001,10*$C$266*(1+3*$D$266/$D$15)*($D$15-$C$10)/(8*$G$15*$E$8),"—"))</f>
        <v>0.80769384206219297</v>
      </c>
      <c r="F266" s="5">
        <f>IF($D$58&lt;=0,0,IF(ABS($F$58)/$D$58&lt;=$D$15/6+0.000001,$D$15,3*($D$15/2-ABS($F$58)/$D$58)))</f>
        <v>1.3</v>
      </c>
      <c r="G266" s="14">
        <f>IF($D$58&lt;=0,0,IF(ABS($F$58)/$D$58&lt;=$D$15/6+0.000001,$D$58/($D$15*$C$15)*(1+6*ABS($F$58)/$D$58/$D$15),2*$D$58/($C$15*$F$266)))</f>
        <v>95.715279927173412</v>
      </c>
      <c r="H266" s="3">
        <f>IF($D$58&lt;=0,0,$C$15*($G$266*(($D$15/2-0.35*$C$10)*MIN(($D$15/2-0.35*$C$10),$F$266)-MIN(($D$15/2-0.35*$C$10),$F$266)^2/2)-IF(ABS($F$58)/$D$58&lt;=$D$15/6+0.000001,12*$D$58*ABS($F$58)/$D$58/($C$15*$D$15^3),$G$266/$F$266)*(($D$15/2-0.35*$C$10)*MIN(($D$15/2-0.35*$C$10),$F$266)^2/2-MIN(($D$15/2-0.35*$C$10),$F$266)^3/3)))-1.35*($E$6*$E$15+$I$6*MAX($G$6-$E$15,0))*$C$15*($D$15/2-0.35*$C$10)^2/2</f>
        <v>8.5492104439690468</v>
      </c>
      <c r="I266" s="15">
        <f>MAX($H$266,0)/($C$15*$G$15^2*$H$8*1000)</f>
        <v>4.2886754727365145E-3</v>
      </c>
      <c r="J266" s="3">
        <f>IF($H$266&lt;=0,0,IF($I$266&gt;=0.5,"μ ≥ 0,5",10*$H$266/($G$15*(1-0.4*1.25*(1-SQRT(1-2*$I$266)))*$E$8)))</f>
        <v>0.7486903622260892</v>
      </c>
      <c r="K266" s="10">
        <f>MAX(N($E$266),N($J$266))</f>
        <v>0.80769384206219297</v>
      </c>
    </row>
    <row r="267" spans="2:11" x14ac:dyDescent="0.25">
      <c r="B267" s="7" t="s">
        <v>62</v>
      </c>
      <c r="C267" s="3">
        <f>$E$24+1.35*$F$51</f>
        <v>54.27</v>
      </c>
      <c r="D267" s="5">
        <f>IF($C$267&gt;0,ABS($F$59)/$C$267,"—")</f>
        <v>0.12686567164179102</v>
      </c>
      <c r="E267" s="3">
        <f>IF($C$267&lt;=0,"—",IF($D$267&lt;=$D$15/6+0.000001,10*$C$267*(1+3*$D$267/$D$15)*($D$15-$C$10)/(8*$G$15*$E$8),"—"))</f>
        <v>0.68972271744213232</v>
      </c>
      <c r="F267" s="5">
        <f>IF($D$59&lt;=0,0,IF(ABS($F$59)/$D$59&lt;=$D$15/6+0.000001,$D$15,3*($D$15/2-ABS($F$59)/$D$59)))</f>
        <v>1.3</v>
      </c>
      <c r="G267" s="14">
        <f>IF($D$59&lt;=0,0,IF(ABS($F$59)/$D$59&lt;=$D$15/6+0.000001,$D$59/($D$15*$C$15)*(1+6*ABS($F$59)/$D$59/$D$15),2*$D$59/($C$15*$F$267)))</f>
        <v>88.614688211197091</v>
      </c>
      <c r="H267" s="3">
        <f>IF($D$59&lt;=0,0,$C$15*($G$267*(($D$15/2-0.35*$C$10)*MIN(($D$15/2-0.35*$C$10),$F$267)-MIN(($D$15/2-0.35*$C$10),$F$267)^2/2)-IF(ABS($F$59)/$D$59&lt;=$D$15/6+0.000001,12*$D$59*ABS($F$59)/$D$59/($C$15*$D$15^3),$G$267/$F$267)*(($D$15/2-0.35*$C$10)*MIN(($D$15/2-0.35*$C$10),$F$267)^2/2-MIN(($D$15/2-0.35*$C$10),$F$267)^3/3)))-1.35*($E$6*$E$15+$I$6*MAX($G$6-$E$15,0))*$C$15*($D$15/2-0.35*$C$10)^2/2</f>
        <v>7.3487489055075095</v>
      </c>
      <c r="I267" s="15">
        <f>MAX($H$267,0)/($C$15*$G$15^2*$H$8*1000)</f>
        <v>3.6864689894939109E-3</v>
      </c>
      <c r="J267" s="3">
        <f>IF($H$267&lt;=0,0,IF($I$267&gt;=0.5,"μ ≥ 0,5",10*$H$267/($G$15*(1-0.4*1.25*(1-SQRT(1-2*$I$267)))*$E$8)))</f>
        <v>0.6433659741726504</v>
      </c>
      <c r="K267" s="10">
        <f>MAX(N($E$267),N($J$267))</f>
        <v>0.68972271744213232</v>
      </c>
    </row>
    <row r="268" spans="2:11" x14ac:dyDescent="0.25">
      <c r="B268" s="7" t="s">
        <v>63</v>
      </c>
      <c r="C268" s="3">
        <f>$E$25+1.35*$F$51</f>
        <v>9.27</v>
      </c>
      <c r="D268" s="5">
        <f>IF($C$268&gt;0,ABS($F$60)/$C$268,"—")</f>
        <v>1.733009708737864</v>
      </c>
      <c r="E268" s="3" t="str">
        <f>IF($C$268&lt;=0,"—",IF($D$268&lt;=$D$15/6+0.000001,10*$C$268*(1+3*$D$268/$D$15)*($D$15-$C$10)/(8*$G$15*$E$8),"—"))</f>
        <v>—</v>
      </c>
      <c r="F268" s="5">
        <f>IF($D$60&lt;=0,0,IF(ABS($F$60)/$D$60&lt;=$D$15/6+0.000001,$D$15,3*($D$15/2-ABS($F$60)/$D$60)))</f>
        <v>1.2896307851672817</v>
      </c>
      <c r="G268" s="14">
        <f>IF($D$60&lt;=0,0,IF(ABS($F$60)/$D$60&lt;=$D$15/6+0.000001,$D$60/($D$15*$C$15)*(1+6*ABS($F$60)/$D$60/$D$15),2*$D$60/($C$15*$F$268)))</f>
        <v>87.063559156027765</v>
      </c>
      <c r="H268" s="3">
        <f>IF($D$60&lt;=0,0,$C$15*($G$268*(($D$15/2-0.35*$C$10)*MIN(($D$15/2-0.35*$C$10),$F$268)-MIN(($D$15/2-0.35*$C$10),$F$268)^2/2)-IF(ABS($F$60)/$D$60&lt;=$D$15/6+0.000001,12*$D$60*ABS($F$60)/$D$60/($C$15*$D$15^3),$G$268/$F$268)*(($D$15/2-0.35*$C$10)*MIN(($D$15/2-0.35*$C$10),$F$268)^2/2-MIN(($D$15/2-0.35*$C$10),$F$268)^3/3)))-1.35*($E$6*$E$15+$I$6*MAX($G$6-$E$15,0))*$C$15*($D$15/2-0.35*$C$10)^2/2</f>
        <v>5.9775943591070195</v>
      </c>
      <c r="I268" s="15">
        <f>MAX($H$268,0)/($C$15*$G$15^2*$H$8*1000)</f>
        <v>2.9986350765239438E-3</v>
      </c>
      <c r="J268" s="3">
        <f>IF($H$268&lt;=0,0,IF($I$268&gt;=0.5,"μ ≥ 0,5",10*$H$268/($G$15*(1-0.4*1.25*(1-SQRT(1-2*$I$268)))*$E$8)))</f>
        <v>0.52314370775706198</v>
      </c>
      <c r="K268" s="10">
        <f>MAX(N($E$268),N($J$268))</f>
        <v>0.52314370775706198</v>
      </c>
    </row>
    <row r="269" spans="2:11" x14ac:dyDescent="0.25">
      <c r="B269" s="7" t="s">
        <v>64</v>
      </c>
      <c r="C269" s="3">
        <f>$E$26+1.35*$F$51</f>
        <v>54.27</v>
      </c>
      <c r="D269" s="5">
        <f>IF($C$269&gt;0,ABS($F$61)/$C$269,"—")</f>
        <v>0.12686567164179102</v>
      </c>
      <c r="E269" s="3">
        <f>IF($C$269&lt;=0,"—",IF($D$269&lt;=$D$15/6+0.000001,10*$C$269*(1+3*$D$269/$D$15)*($D$15-$C$10)/(8*$G$15*$E$8),"—"))</f>
        <v>0.68972271744213232</v>
      </c>
      <c r="F269" s="5">
        <f>IF($D$61&lt;=0,0,IF(ABS($F$61)/$D$61&lt;=$D$15/6+0.000001,$D$15,3*($D$15/2-ABS($F$61)/$D$61)))</f>
        <v>1.3</v>
      </c>
      <c r="G269" s="14">
        <f>IF($D$61&lt;=0,0,IF(ABS($F$61)/$D$61&lt;=$D$15/6+0.000001,$D$61/($D$15*$C$15)*(1+6*ABS($F$61)/$D$61/$D$15),2*$D$61/($C$15*$F$269)))</f>
        <v>88.614688211197091</v>
      </c>
      <c r="H269" s="3">
        <f>IF($D$61&lt;=0,0,$C$15*($G$269*(($D$15/2-0.35*$C$10)*MIN(($D$15/2-0.35*$C$10),$F$269)-MIN(($D$15/2-0.35*$C$10),$F$269)^2/2)-IF(ABS($F$61)/$D$61&lt;=$D$15/6+0.000001,12*$D$61*ABS($F$61)/$D$61/($C$15*$D$15^3),$G$269/$F$269)*(($D$15/2-0.35*$C$10)*MIN(($D$15/2-0.35*$C$10),$F$269)^2/2-MIN(($D$15/2-0.35*$C$10),$F$269)^3/3)))-1.35*($E$6*$E$15+$I$6*MAX($G$6-$E$15,0))*$C$15*($D$15/2-0.35*$C$10)^2/2</f>
        <v>7.3487489055075095</v>
      </c>
      <c r="I269" s="15">
        <f>MAX($H$269,0)/($C$15*$G$15^2*$H$8*1000)</f>
        <v>3.6864689894939109E-3</v>
      </c>
      <c r="J269" s="3">
        <f>IF($H$269&lt;=0,0,IF($I$269&gt;=0.5,"μ ≥ 0,5",10*$H$269/($G$15*(1-0.4*1.25*(1-SQRT(1-2*$I$269)))*$E$8)))</f>
        <v>0.6433659741726504</v>
      </c>
      <c r="K269" s="10">
        <f>MAX(N($E$269),N($J$269))</f>
        <v>0.68972271744213232</v>
      </c>
    </row>
    <row r="270" spans="2:11" x14ac:dyDescent="0.25">
      <c r="B270" s="7" t="s">
        <v>65</v>
      </c>
      <c r="C270" s="3">
        <f>$E$27+1*$F$51</f>
        <v>-4.8</v>
      </c>
      <c r="D270" s="5" t="str">
        <f>IF($C$270&gt;0,ABS($F$62)/$C$270,"—")</f>
        <v>—</v>
      </c>
      <c r="E270" s="3" t="str">
        <f>IF($C$270&lt;=0,"—",IF($D$270&lt;=$D$15/6+0.000001,10*$C$270*(1+3*$D$270/$D$15)*($D$15-$C$10)/(8*$G$15*$E$8),"—"))</f>
        <v>—</v>
      </c>
      <c r="F270" s="5">
        <f>IF($D$62&lt;=0,0,IF(ABS($F$62)/$D$62&lt;=$D$15/6+0.000001,$D$15,3*($D$15/2-ABS($F$62)/$D$62)))</f>
        <v>0.68684955418219595</v>
      </c>
      <c r="G270" s="14">
        <f>IF($D$62&lt;=0,0,IF(ABS($F$62)/$D$62&lt;=$D$15/6+0.000001,$D$62/($D$15*$C$15)*(1+6*ABS($F$62)/$D$62/$D$15),2*$D$62/($C$15*$F$270)))</f>
        <v>94.957531914241571</v>
      </c>
      <c r="H270" s="3">
        <f>IF($D$62&lt;=0,0,$C$15*($G$270*(($D$15/2-0.35*$C$10)*MIN(($D$15/2-0.35*$C$10),$F$270)-MIN(($D$15/2-0.35*$C$10),$F$270)^2/2)-IF(ABS($F$62)/$D$62&lt;=$D$15/6+0.000001,12*$D$62*ABS($F$62)/$D$62/($C$15*$D$15^3),$G$270/$F$270)*(($D$15/2-0.35*$C$10)*MIN(($D$15/2-0.35*$C$10),$F$270)^2/2-MIN(($D$15/2-0.35*$C$10),$F$270)^3/3)))-1*($E$6*$E$15+$I$6*MAX($G$6-$E$15,0))*$C$15*($D$15/2-0.35*$C$10)^2/2</f>
        <v>7.0423836567480231</v>
      </c>
      <c r="I270" s="15">
        <f>MAX($H$270,0)/($C$15*$G$15^2*$H$8*1000)</f>
        <v>3.5327821506138941E-3</v>
      </c>
      <c r="J270" s="3">
        <f>IF($H$270&lt;=0,0,IF($I$270&gt;=0.5,"μ ≥ 0,5",10*$H$270/($G$15*(1-0.4*1.25*(1-SQRT(1-2*$I$270)))*$E$8)))</f>
        <v>0.61649677143644244</v>
      </c>
      <c r="K270" s="10">
        <f>MAX(N($E$270),N($J$270))</f>
        <v>0.61649677143644244</v>
      </c>
    </row>
    <row r="271" spans="2:11" x14ac:dyDescent="0.25">
      <c r="B271" s="7" t="s">
        <v>66</v>
      </c>
      <c r="C271" s="3">
        <f>$E$28+1*$F$51</f>
        <v>40.200000000000003</v>
      </c>
      <c r="D271" s="5">
        <f>IF($C$271&gt;0,ABS($F$63)/$C$271,"—")</f>
        <v>0.12686567164179102</v>
      </c>
      <c r="E271" s="3">
        <f>IF($C$271&lt;=0,"—",IF($D$271&lt;=$D$15/6+0.000001,10*$C$271*(1+3*$D$271/$D$15)*($D$15-$C$10)/(8*$G$15*$E$8),"—"))</f>
        <v>0.5109057166238018</v>
      </c>
      <c r="F271" s="5">
        <f>IF($D$63&lt;=0,0,IF(ABS($F$63)/$D$63&lt;=$D$15/6+0.000001,$D$15,3*($D$15/2-ABS($F$63)/$D$63)))</f>
        <v>1.3</v>
      </c>
      <c r="G271" s="14">
        <f>IF($D$63&lt;=0,0,IF(ABS($F$63)/$D$63&lt;=$D$15/6+0.000001,$D$63/($D$15*$C$15)*(1+6*ABS($F$63)/$D$63/$D$15),2*$D$63/($C$15*$F$271)))</f>
        <v>65.640509786071917</v>
      </c>
      <c r="H271" s="3">
        <f>IF($D$63&lt;=0,0,$C$15*($G$271*(($D$15/2-0.35*$C$10)*MIN(($D$15/2-0.35*$C$10),$F$271)-MIN(($D$15/2-0.35*$C$10),$F$271)^2/2)-IF(ABS($F$63)/$D$63&lt;=$D$15/6+0.000001,12*$D$63*ABS($F$63)/$D$63/($C$15*$D$15^3),$G$271/$F$271)*(($D$15/2-0.35*$C$10)*MIN(($D$15/2-0.35*$C$10),$F$271)^2/2-MIN(($D$15/2-0.35*$C$10),$F$271)^3/3)))-1*($E$6*$E$15+$I$6*MAX($G$6-$E$15,0))*$C$15*($D$15/2-0.35*$C$10)^2/2</f>
        <v>5.4435177077833421</v>
      </c>
      <c r="I271" s="15">
        <f>MAX($H$271,0)/($C$15*$G$15^2*$H$8*1000)</f>
        <v>2.7307177699954907E-3</v>
      </c>
      <c r="J271" s="3">
        <f>IF($H$271&lt;=0,0,IF($I$271&gt;=0.5,"μ ≥ 0,5",10*$H$271/($G$15*(1-0.4*1.25*(1-SQRT(1-2*$I$271)))*$E$8)))</f>
        <v>0.47633860125363697</v>
      </c>
      <c r="K271" s="10">
        <f>MAX(N($E$271),N($J$271))</f>
        <v>0.5109057166238018</v>
      </c>
    </row>
    <row r="272" spans="2:11" x14ac:dyDescent="0.25">
      <c r="B272" s="7" t="s">
        <v>67</v>
      </c>
      <c r="C272" s="3">
        <f>$E$29+1.35*$F$51</f>
        <v>24.57</v>
      </c>
      <c r="D272" s="5">
        <f>IF($C$272&gt;0,ABS($F$64)/$C$272,"—")</f>
        <v>0.56043956043956045</v>
      </c>
      <c r="E272" s="3" t="str">
        <f>IF($C$272&lt;=0,"—",IF($D$272&lt;=$D$15/6+0.000001,10*$C$272*(1+3*$D$272/$D$15)*($D$15-$C$10)/(8*$G$15*$E$8),"—"))</f>
        <v>—</v>
      </c>
      <c r="F272" s="5">
        <f>IF($D$64&lt;=0,0,IF(ABS($F$64)/$D$64&lt;=$D$15/6+0.000001,$D$15,3*($D$15/2-ABS($F$64)/$D$64)))</f>
        <v>1.3</v>
      </c>
      <c r="G272" s="14">
        <f>IF($D$64&lt;=0,0,IF(ABS($F$64)/$D$64&lt;=$D$15/6+0.000001,$D$64/($D$15*$C$15)*(1+6*ABS($F$64)/$D$64/$D$15),2*$D$64/($C$15*$F$272)))</f>
        <v>89.843636777423754</v>
      </c>
      <c r="H272" s="3">
        <f>IF($D$64&lt;=0,0,$C$15*($G$272*(($D$15/2-0.35*$C$10)*MIN(($D$15/2-0.35*$C$10),$F$272)-MIN(($D$15/2-0.35*$C$10),$F$272)^2/2)-IF(ABS($F$64)/$D$64&lt;=$D$15/6+0.000001,12*$D$64*ABS($F$64)/$D$64/($C$15*$D$15^3),$G$272/$F$272)*(($D$15/2-0.35*$C$10)*MIN(($D$15/2-0.35*$C$10),$F$272)^2/2-MIN(($D$15/2-0.35*$C$10),$F$272)^3/3)))-1.35*($E$6*$E$15+$I$6*MAX($G$6-$E$15,0))*$C$15*($D$15/2-0.35*$C$10)^2/2</f>
        <v>6.7251126879380951</v>
      </c>
      <c r="I272" s="15">
        <f>MAX($H$272,0)/($C$15*$G$15^2*$H$8*1000)</f>
        <v>3.3736245031253634E-3</v>
      </c>
      <c r="J272" s="3">
        <f>IF($H$272&lt;=0,0,IF($I$272&gt;=0.5,"μ ≥ 0,5",10*$H$272/($G$15*(1-0.4*1.25*(1-SQRT(1-2*$I$272)))*$E$8)))</f>
        <v>0.5886754856700066</v>
      </c>
      <c r="K272" s="10">
        <f>MAX(N($E$272),N($J$272))</f>
        <v>0.5886754856700066</v>
      </c>
    </row>
    <row r="273" spans="2:11" x14ac:dyDescent="0.25">
      <c r="B273" s="7" t="s">
        <v>68</v>
      </c>
      <c r="C273" s="3">
        <f>$E$30+1.35*$F$51</f>
        <v>65.069999999999993</v>
      </c>
      <c r="D273" s="5">
        <f>IF($C$273&gt;0,ABS($F$65)/$C$273,"—")</f>
        <v>0.10580912863070541</v>
      </c>
      <c r="E273" s="3">
        <f>IF($C$273&lt;=0,"—",IF($D$273&lt;=$D$15/6+0.000001,10*$C$273*(1+3*$D$273/$D$15)*($D$15-$C$10)/(8*$G$15*$E$8),"—"))</f>
        <v>0.79589672960018698</v>
      </c>
      <c r="F273" s="5">
        <f>IF($D$65&lt;=0,0,IF(ABS($F$65)/$D$65&lt;=$D$15/6+0.000001,$D$15,3*($D$15/2-ABS($F$65)/$D$65)))</f>
        <v>1.3</v>
      </c>
      <c r="G273" s="14">
        <f>IF($D$65&lt;=0,0,IF(ABS($F$65)/$D$65&lt;=$D$15/6+0.000001,$D$65/($D$15*$C$15)*(1+6*ABS($F$65)/$D$65/$D$15),2*$D$65/($C$15*$F$273)))</f>
        <v>95.005220755575778</v>
      </c>
      <c r="H273" s="3">
        <f>IF($D$65&lt;=0,0,$C$15*($G$273*(($D$15/2-0.35*$C$10)*MIN(($D$15/2-0.35*$C$10),$F$273)-MIN(($D$15/2-0.35*$C$10),$F$273)^2/2)-IF(ABS($F$65)/$D$65&lt;=$D$15/6+0.000001,12*$D$65*ABS($F$65)/$D$65/($C$15*$D$15^3),$G$273/$F$273)*(($D$15/2-0.35*$C$10)*MIN(($D$15/2-0.35*$C$10),$F$273)^2/2-MIN(($D$15/2-0.35*$C$10),$F$273)^3/3)))-1.35*($E$6*$E$15+$I$6*MAX($G$6-$E$15,0))*$C$15*($D$15/2-0.35*$C$10)^2/2</f>
        <v>8.4291642901228947</v>
      </c>
      <c r="I273" s="15">
        <f>MAX($H$273,0)/($C$15*$G$15^2*$H$8*1000)</f>
        <v>4.228454824412255E-3</v>
      </c>
      <c r="J273" s="3">
        <f>IF($H$273&lt;=0,0,IF($I$273&gt;=0.5,"μ ≥ 0,5",10*$H$273/($G$15*(1-0.4*1.25*(1-SQRT(1-2*$I$273)))*$E$8)))</f>
        <v>0.73815504555960132</v>
      </c>
      <c r="K273" s="10">
        <f>MAX(N($E$273),N($J$273))</f>
        <v>0.79589672960018698</v>
      </c>
    </row>
    <row r="274" spans="2:11" x14ac:dyDescent="0.25">
      <c r="B274" s="7" t="s">
        <v>69</v>
      </c>
      <c r="C274" s="3">
        <f>$E$31+1.35*$F$51</f>
        <v>13.77</v>
      </c>
      <c r="D274" s="5">
        <f>IF($C$274&gt;0,ABS($F$66)/$C$274,"—")</f>
        <v>1</v>
      </c>
      <c r="E274" s="3" t="str">
        <f>IF($C$274&lt;=0,"—",IF($D$274&lt;=$D$15/6+0.000001,10*$C$274*(1+3*$D$274/$D$15)*($D$15-$C$10)/(8*$G$15*$E$8),"—"))</f>
        <v>—</v>
      </c>
      <c r="F274" s="5">
        <f>IF($D$66&lt;=0,0,IF(ABS($F$66)/$D$66&lt;=$D$15/6+0.000001,$D$15,3*($D$15/2-ABS($F$66)/$D$66)))</f>
        <v>1.3</v>
      </c>
      <c r="G274" s="14">
        <f>IF($D$66&lt;=0,0,IF(ABS($F$66)/$D$66&lt;=$D$15/6+0.000001,$D$66/($D$15*$C$15)*(1+6*ABS($F$66)/$D$66/$D$15),2*$D$66/($C$15*$F$274)))</f>
        <v>83.453104233045053</v>
      </c>
      <c r="H274" s="3">
        <f>IF($D$66&lt;=0,0,$C$15*($G$274*(($D$15/2-0.35*$C$10)*MIN(($D$15/2-0.35*$C$10),$F$274)-MIN(($D$15/2-0.35*$C$10),$F$274)^2/2)-IF(ABS($F$66)/$D$66&lt;=$D$15/6+0.000001,12*$D$66*ABS($F$66)/$D$66/($C$15*$D$15^3),$G$274/$F$274)*(($D$15/2-0.35*$C$10)*MIN(($D$15/2-0.35*$C$10),$F$274)^2/2-MIN(($D$15/2-0.35*$C$10),$F$274)^3/3)))-1.35*($E$6*$E$15+$I$6*MAX($G$6-$E$15,0))*$C$15*($D$15/2-0.35*$C$10)^2/2</f>
        <v>5.6446973033227117</v>
      </c>
      <c r="I274" s="15">
        <f>MAX($H$274,0)/($C$15*$G$15^2*$H$8*1000)</f>
        <v>2.8316386682070201E-3</v>
      </c>
      <c r="J274" s="3">
        <f>IF($H$274&lt;=0,0,IF($I$274&gt;=0.5,"μ ≥ 0,5",10*$H$274/($G$15*(1-0.4*1.25*(1-SQRT(1-2*$I$274)))*$E$8)))</f>
        <v>0.49396798390755819</v>
      </c>
      <c r="K274" s="10">
        <f>MAX(N($E$274),N($J$274))</f>
        <v>0.49396798390755819</v>
      </c>
    </row>
    <row r="275" spans="2:11" x14ac:dyDescent="0.25">
      <c r="B275" s="7" t="s">
        <v>70</v>
      </c>
      <c r="C275" s="3">
        <f>$E$32+1.35*$F$51</f>
        <v>54.27</v>
      </c>
      <c r="D275" s="5">
        <f>IF($C$275&gt;0,ABS($F$67)/$C$275,"—")</f>
        <v>0.12686567164179102</v>
      </c>
      <c r="E275" s="3">
        <f>IF($C$275&lt;=0,"—",IF($D$275&lt;=$D$15/6+0.000001,10*$C$275*(1+3*$D$275/$D$15)*($D$15-$C$10)/(8*$G$15*$E$8),"—"))</f>
        <v>0.68972271744213232</v>
      </c>
      <c r="F275" s="5">
        <f>IF($D$67&lt;=0,0,IF(ABS($F$67)/$D$67&lt;=$D$15/6+0.000001,$D$15,3*($D$15/2-ABS($F$67)/$D$67)))</f>
        <v>1.3</v>
      </c>
      <c r="G275" s="14">
        <f>IF($D$67&lt;=0,0,IF(ABS($F$67)/$D$67&lt;=$D$15/6+0.000001,$D$67/($D$15*$C$15)*(1+6*ABS($F$67)/$D$67/$D$15),2*$D$67/($C$15*$F$275)))</f>
        <v>88.614688211197091</v>
      </c>
      <c r="H275" s="3">
        <f>IF($D$67&lt;=0,0,$C$15*($G$275*(($D$15/2-0.35*$C$10)*MIN(($D$15/2-0.35*$C$10),$F$275)-MIN(($D$15/2-0.35*$C$10),$F$275)^2/2)-IF(ABS($F$67)/$D$67&lt;=$D$15/6+0.000001,12*$D$67*ABS($F$67)/$D$67/($C$15*$D$15^3),$G$275/$F$275)*(($D$15/2-0.35*$C$10)*MIN(($D$15/2-0.35*$C$10),$F$275)^2/2-MIN(($D$15/2-0.35*$C$10),$F$275)^3/3)))-1.35*($E$6*$E$15+$I$6*MAX($G$6-$E$15,0))*$C$15*($D$15/2-0.35*$C$10)^2/2</f>
        <v>7.3487489055075095</v>
      </c>
      <c r="I275" s="15">
        <f>MAX($H$275,0)/($C$15*$G$15^2*$H$8*1000)</f>
        <v>3.6864689894939109E-3</v>
      </c>
      <c r="J275" s="3">
        <f>IF($H$275&lt;=0,0,IF($I$275&gt;=0.5,"μ ≥ 0,5",10*$H$275/($G$15*(1-0.4*1.25*(1-SQRT(1-2*$I$275)))*$E$8)))</f>
        <v>0.6433659741726504</v>
      </c>
      <c r="K275" s="10">
        <f>MAX(N($E$275),N($J$275))</f>
        <v>0.68972271744213232</v>
      </c>
    </row>
    <row r="276" spans="2:11" x14ac:dyDescent="0.25">
      <c r="B276" s="7" t="s">
        <v>71</v>
      </c>
      <c r="C276" s="3">
        <f>$E$33+1*$F$51</f>
        <v>48.2</v>
      </c>
      <c r="D276" s="5">
        <f>IF($C$276&gt;0,ABS($F$68)/$C$276,"—")</f>
        <v>0.10580912863070538</v>
      </c>
      <c r="E276" s="3">
        <f>IF($C$276&lt;=0,"—",IF($D$276&lt;=$D$15/6+0.000001,10*$C$276*(1+3*$D$276/$D$15)*($D$15-$C$10)/(8*$G$15*$G$8),"—"))</f>
        <v>1.0170042756789863</v>
      </c>
      <c r="F276" s="5">
        <f>IF($D$68&lt;=0,0,IF(ABS($F$68)/$D$68&lt;=$D$15/6+0.000001,$D$15,3*($D$15/2-ABS($F$68)/$D$68)))</f>
        <v>1.3</v>
      </c>
      <c r="G276" s="14">
        <f>IF($D$68&lt;=0,0,IF(ABS($F$68)/$D$68&lt;=$D$15/6+0.000001,$D$68/($D$15*$C$15)*(1+6*ABS($F$68)/$D$68/$D$15),2*$D$68/($C$15*$F$276)))</f>
        <v>70.374237596722793</v>
      </c>
      <c r="H276" s="3">
        <f>IF($D$68&lt;=0,0,$C$15*($G$276*(($D$15/2-0.35*$C$10)*MIN(($D$15/2-0.35*$C$10),$F$276)-MIN(($D$15/2-0.35*$C$10),$F$276)^2/2)-IF(ABS($F$68)/$D$68&lt;=$D$15/6+0.000001,12*$D$68*ABS($F$68)/$D$68/($C$15*$D$15^3),$G$276/$F$276)*(($D$15/2-0.35*$C$10)*MIN(($D$15/2-0.35*$C$10),$F$276)^2/2-MIN(($D$15/2-0.35*$C$10),$F$276)^3/3)))-1*($E$6*$E$15+$I$6*MAX($G$6-$E$15,0))*$C$15*($D$15/2-0.35*$C$10)^2/2</f>
        <v>6.2438254000910307</v>
      </c>
      <c r="I276" s="15">
        <f>MAX($H$276,0)/($C$15*$G$15^2*$G$8*1000)</f>
        <v>2.2006616642262304E-4</v>
      </c>
      <c r="J276" s="3">
        <f>IF($H$276&lt;=0,0,10*$H$276/($G$15*(1-(1+2*SQRT((3+90*$I$276)/3)*COS(ACOS((3/(3+90*$I$276))*SQRT(3/(3+90*$I$276)))/3-2*PI()/3))/3)*$G$8))</f>
        <v>0.96668675762317091</v>
      </c>
      <c r="K276" s="10">
        <f>MAX(N($E$276),N($J$276))</f>
        <v>1.0170042756789863</v>
      </c>
    </row>
    <row r="277" spans="2:11" x14ac:dyDescent="0.25">
      <c r="B277" s="7" t="s">
        <v>73</v>
      </c>
      <c r="C277" s="3">
        <f>$E$34+1*$F$51</f>
        <v>40.200000000000003</v>
      </c>
      <c r="D277" s="5">
        <f>IF($C$277&gt;0,ABS($F$69)/$C$277,"—")</f>
        <v>0.12686567164179102</v>
      </c>
      <c r="E277" s="3">
        <f>IF($C$277&lt;=0,"—",IF($D$277&lt;=$D$15/6+0.000001,10*$C$277*(1+3*$D$277/$D$15)*($D$15-$C$10)/(8*$G$15*$G$8),"—"))</f>
        <v>0.88133413115536585</v>
      </c>
      <c r="F277" s="5">
        <f>IF($D$69&lt;=0,0,IF(ABS($F$69)/$D$69&lt;=$D$15/6+0.000001,$D$15,3*($D$15/2-ABS($F$69)/$D$69)))</f>
        <v>1.3</v>
      </c>
      <c r="G277" s="14">
        <f>IF($D$69&lt;=0,0,IF(ABS($F$69)/$D$69&lt;=$D$15/6+0.000001,$D$69/($D$15*$C$15)*(1+6*ABS($F$69)/$D$69/$D$15),2*$D$69/($C$15*$F$277)))</f>
        <v>65.640509786071917</v>
      </c>
      <c r="H277" s="3">
        <f>IF($D$69&lt;=0,0,$C$15*($G$277*(($D$15/2-0.35*$C$10)*MIN(($D$15/2-0.35*$C$10),$F$277)-MIN(($D$15/2-0.35*$C$10),$F$277)^2/2)-IF(ABS($F$69)/$D$69&lt;=$D$15/6+0.000001,12*$D$69*ABS($F$69)/$D$69/($C$15*$D$15^3),$G$277/$F$277)*(($D$15/2-0.35*$C$10)*MIN(($D$15/2-0.35*$C$10),$F$277)^2/2-MIN(($D$15/2-0.35*$C$10),$F$277)^3/3)))-1*($E$6*$E$15+$I$6*MAX($G$6-$E$15,0))*$C$15*($D$15/2-0.35*$C$10)^2/2</f>
        <v>5.4435177077833421</v>
      </c>
      <c r="I277" s="15">
        <f>MAX($H$277,0)/($C$15*$G$15^2*$G$8*1000)</f>
        <v>1.9185899621537773E-4</v>
      </c>
      <c r="J277" s="3">
        <f>IF($H$277&lt;=0,0,10*$H$277/($G$15*(1-(1+2*SQRT((3+90*$I$277)/3)*COS(ACOS((3/(3+90*$I$277))*SQRT(3/(3+90*$I$277)))/3-2*PI()/3))/3)*$G$8))</f>
        <v>0.84131232790309107</v>
      </c>
      <c r="K277" s="10">
        <f>MAX(N($E$277),N($J$277))</f>
        <v>0.88133413115536585</v>
      </c>
    </row>
    <row r="278" spans="2:11" x14ac:dyDescent="0.25">
      <c r="B278" s="7" t="s">
        <v>74</v>
      </c>
      <c r="C278" s="3">
        <f>$E$35+1*$F$51</f>
        <v>10.199999999999999</v>
      </c>
      <c r="D278" s="5">
        <f>IF($C$278&gt;0,ABS($F$70)/$C$278,"—")</f>
        <v>1</v>
      </c>
      <c r="E278" s="3" t="str">
        <f>IF($C$278&lt;=0,"—",IF($D$278&lt;=$D$15/6+0.000001,10*$C$278*(1+3*$D$278/$D$15)*($D$15-$C$10)/(8*$G$15*$G$8),"—"))</f>
        <v>—</v>
      </c>
      <c r="F278" s="5">
        <f>IF($D$70&lt;=0,0,IF(ABS($F$70)/$D$70&lt;=$D$15/6+0.000001,$D$15,3*($D$15/2-ABS($F$70)/$D$70)))</f>
        <v>1.3</v>
      </c>
      <c r="G278" s="14">
        <f>IF($D$70&lt;=0,0,IF(ABS($F$70)/$D$70&lt;=$D$15/6+0.000001,$D$70/($D$15*$C$15)*(1+6*ABS($F$70)/$D$70/$D$15),2*$D$70/($C$15*$F$278)))</f>
        <v>61.817114246700044</v>
      </c>
      <c r="H278" s="3">
        <f>IF($D$70&lt;=0,0,$C$15*($G$278*(($D$15/2-0.35*$C$10)*MIN(($D$15/2-0.35*$C$10),$F$278)-MIN(($D$15/2-0.35*$C$10),$F$278)^2/2)-IF(ABS($F$70)/$D$70&lt;=$D$15/6+0.000001,12*$D$70*ABS($F$70)/$D$70/($C$15*$D$15^3),$G$278/$F$278)*(($D$15/2-0.35*$C$10)*MIN(($D$15/2-0.35*$C$10),$F$278)^2/2-MIN(($D$15/2-0.35*$C$10),$F$278)^3/3)))-1*($E$6*$E$15+$I$6*MAX($G$6-$E$15,0))*$C$15*($D$15/2-0.35*$C$10)^2/2</f>
        <v>4.181257261720531</v>
      </c>
      <c r="I278" s="15">
        <f>MAX($H$278,0)/($C$15*$G$15^2*$G$8*1000)</f>
        <v>1.4737011326424601E-4</v>
      </c>
      <c r="J278" s="3">
        <f>IF($H$278&lt;=0,0,10*$H$278/($G$15*(1-(1+2*SQRT((3+90*$I$278)/3)*COS(ACOS((3/(3+90*$I$278))*SQRT(3/(3+90*$I$278)))/3-2*PI()/3))/3)*$G$8))</f>
        <v>0.64426142278882725</v>
      </c>
      <c r="K278" s="10">
        <f>MAX(N($E$278),N($J$278))</f>
        <v>0.64426142278882725</v>
      </c>
    </row>
    <row r="279" spans="2:11" x14ac:dyDescent="0.25">
      <c r="B279" s="7" t="s">
        <v>75</v>
      </c>
      <c r="C279" s="3">
        <f>$E$36+1*$F$51</f>
        <v>40.200000000000003</v>
      </c>
      <c r="D279" s="5">
        <f>IF($C$279&gt;0,ABS($F$71)/$C$279,"—")</f>
        <v>0.12686567164179102</v>
      </c>
      <c r="E279" s="3">
        <f>IF($C$279&lt;=0,"—",IF($D$279&lt;=$D$15/6+0.000001,10*$C$279*(1+3*$D$279/$D$15)*($D$15-$C$10)/(8*$G$15*$G$8),"—"))</f>
        <v>0.88133413115536585</v>
      </c>
      <c r="F279" s="5">
        <f>IF($D$71&lt;=0,0,IF(ABS($F$71)/$D$71&lt;=$D$15/6+0.000001,$D$15,3*($D$15/2-ABS($F$71)/$D$71)))</f>
        <v>1.3</v>
      </c>
      <c r="G279" s="14">
        <f>IF($D$71&lt;=0,0,IF(ABS($F$71)/$D$71&lt;=$D$15/6+0.000001,$D$71/($D$15*$C$15)*(1+6*ABS($F$71)/$D$71/$D$15),2*$D$71/($C$15*$F$279)))</f>
        <v>65.640509786071917</v>
      </c>
      <c r="H279" s="3">
        <f>IF($D$71&lt;=0,0,$C$15*($G$279*(($D$15/2-0.35*$C$10)*MIN(($D$15/2-0.35*$C$10),$F$279)-MIN(($D$15/2-0.35*$C$10),$F$279)^2/2)-IF(ABS($F$71)/$D$71&lt;=$D$15/6+0.000001,12*$D$71*ABS($F$71)/$D$71/($C$15*$D$15^3),$G$279/$F$279)*(($D$15/2-0.35*$C$10)*MIN(($D$15/2-0.35*$C$10),$F$279)^2/2-MIN(($D$15/2-0.35*$C$10),$F$279)^3/3)))-1*($E$6*$E$15+$I$6*MAX($G$6-$E$15,0))*$C$15*($D$15/2-0.35*$C$10)^2/2</f>
        <v>5.4435177077833421</v>
      </c>
      <c r="I279" s="15">
        <f>MAX($H$279,0)/($C$15*$G$15^2*$G$8*1000)</f>
        <v>1.9185899621537773E-4</v>
      </c>
      <c r="J279" s="3">
        <f>IF($H$279&lt;=0,0,10*$H$279/($G$15*(1-(1+2*SQRT((3+90*$I$279)/3)*COS(ACOS((3/(3+90*$I$279))*SQRT(3/(3+90*$I$279)))/3-2*PI()/3))/3)*$G$8))</f>
        <v>0.84131232790309107</v>
      </c>
      <c r="K279" s="10">
        <f>MAX(N($E$279),N($J$279))</f>
        <v>0.88133413115536585</v>
      </c>
    </row>
    <row r="280" spans="2:11" x14ac:dyDescent="0.25">
      <c r="B280" s="7" t="s">
        <v>76</v>
      </c>
      <c r="C280" s="3">
        <f>$E$37+1*$F$51</f>
        <v>20.399999999999999</v>
      </c>
      <c r="D280" s="5">
        <f>IF($C$280&gt;0,ABS($F$72)/$C$280,"—")</f>
        <v>0.42500000000000004</v>
      </c>
      <c r="E280" s="3" t="str">
        <f>IF($C$280&lt;=0,"—",IF($D$280&lt;=$D$15/6+0.000001,10*$C$280*(1+3*$D$280/$D$15)*($D$15-$C$10)/(8*$G$15*$G$8),"—"))</f>
        <v>—</v>
      </c>
      <c r="F280" s="5">
        <f>IF($D$72&lt;=0,0,IF(ABS($F$72)/$D$72&lt;=$D$15/6+0.000001,$D$15,3*($D$15/2-ABS($F$72)/$D$72)))</f>
        <v>1.3</v>
      </c>
      <c r="G280" s="14">
        <f>IF($D$72&lt;=0,0,IF(ABS($F$72)/$D$72&lt;=$D$15/6+0.000001,$D$72/($D$15*$C$15)*(1+6*ABS($F$72)/$D$72/$D$15),2*$D$72/($C$15*$F$280)))</f>
        <v>63.674192080109243</v>
      </c>
      <c r="H280" s="3">
        <f>IF($D$72&lt;=0,0,$C$15*($G$280*(($D$15/2-0.35*$C$10)*MIN(($D$15/2-0.35*$C$10),$F$280)-MIN(($D$15/2-0.35*$C$10),$F$280)^2/2)-IF(ABS($F$72)/$D$72&lt;=$D$15/6+0.000001,12*$D$72*ABS($F$72)/$D$72/($C$15*$D$15^3),$G$280/$F$280)*(($D$15/2-0.35*$C$10)*MIN(($D$15/2-0.35*$C$10),$F$280)^2/2-MIN(($D$15/2-0.35*$C$10),$F$280)^3/3)))-1*($E$6*$E$15+$I$6*MAX($G$6-$E$15,0))*$C$15*($D$15/2-0.35*$C$10)^2/2</f>
        <v>4.6799815493855261</v>
      </c>
      <c r="I280" s="15">
        <f>MAX($H$280,0)/($C$15*$G$15^2*$G$8*1000)</f>
        <v>1.6494785368067227E-4</v>
      </c>
      <c r="J280" s="3">
        <f>IF($H$280&lt;=0,0,10*$H$280/($G$15*(1-(1+2*SQRT((3+90*$I$280)/3)*COS(ACOS((3/(3+90*$I$280))*SQRT(3/(3+90*$I$280)))/3-2*PI()/3))/3)*$G$8))</f>
        <v>0.72201053543205029</v>
      </c>
      <c r="K280" s="10">
        <f>MAX(N($E$280),N($J$280))</f>
        <v>0.72201053543205029</v>
      </c>
    </row>
    <row r="281" spans="2:11" x14ac:dyDescent="0.25">
      <c r="B281" s="7" t="s">
        <v>77</v>
      </c>
      <c r="C281" s="3">
        <f>$E$38+1*$F$51</f>
        <v>47.400000000000006</v>
      </c>
      <c r="D281" s="5">
        <f>IF($C$281&gt;0,ABS($F$73)/$C$281,"—")</f>
        <v>0.10759493670886074</v>
      </c>
      <c r="E281" s="3">
        <f>IF($C$281&lt;=0,"—",IF($D$281&lt;=$D$15/6+0.000001,10*$C$281*(1+3*$D$281/$D$15)*($D$15-$C$10)/(8*$G$15*$G$8),"—"))</f>
        <v>1.0034372612266242</v>
      </c>
      <c r="F281" s="5">
        <f>IF($D$73&lt;=0,0,IF(ABS($F$73)/$D$73&lt;=$D$15/6+0.000001,$D$15,3*($D$15/2-ABS($F$73)/$D$73)))</f>
        <v>1.3</v>
      </c>
      <c r="G281" s="14">
        <f>IF($D$73&lt;=0,0,IF(ABS($F$73)/$D$73&lt;=$D$15/6+0.000001,$D$73/($D$15*$C$15)*(1+6*ABS($F$73)/$D$73/$D$15),2*$D$73/($C$15*$F$281)))</f>
        <v>69.900864815657712</v>
      </c>
      <c r="H281" s="3">
        <f>IF($D$73&lt;=0,0,$C$15*($G$281*(($D$15/2-0.35*$C$10)*MIN(($D$15/2-0.35*$C$10),$F$281)-MIN(($D$15/2-0.35*$C$10),$F$281)^2/2)-IF(ABS($F$73)/$D$73&lt;=$D$15/6+0.000001,12*$D$73*ABS($F$73)/$D$73/($C$15*$D$15^3),$G$281/$F$281)*(($D$15/2-0.35*$C$10)*MIN(($D$15/2-0.35*$C$10),$F$281)^2/2-MIN(($D$15/2-0.35*$C$10),$F$281)^3/3)))-1*($E$6*$E$15+$I$6*MAX($G$6-$E$15,0))*$C$15*($D$15/2-0.35*$C$10)^2/2</f>
        <v>6.1637946308602638</v>
      </c>
      <c r="I281" s="15">
        <f>MAX($H$281,0)/($C$15*$G$15^2*$G$8*1000)</f>
        <v>2.1724544940189856E-4</v>
      </c>
      <c r="J281" s="3">
        <f>IF($H$281&lt;=0,0,10*$H$281/($G$15*(1-(1+2*SQRT((3+90*$I$281)/3)*COS(ACOS((3/(3+90*$I$281))*SQRT(3/(3+90*$I$281)))/3-2*PI()/3))/3)*$G$8))</f>
        <v>0.95413490805224166</v>
      </c>
      <c r="K281" s="10">
        <f>MAX(N($E$281),N($J$281))</f>
        <v>1.0034372612266242</v>
      </c>
    </row>
    <row r="282" spans="2:11" x14ac:dyDescent="0.25">
      <c r="B282" s="7" t="s">
        <v>78</v>
      </c>
      <c r="C282" s="3">
        <f>$E$39+1*$F$51</f>
        <v>53.400000000000006</v>
      </c>
      <c r="D282" s="5">
        <f>IF($C$282&gt;0,ABS($F$74)/$C$282,"—")</f>
        <v>9.5505617977528073E-2</v>
      </c>
      <c r="E282" s="3">
        <f>IF($C$282&lt;=0,"—",IF($D$282&lt;=$D$15/6+0.000001,10*$C$282*(1+3*$D$282/$D$15)*($D$15-$C$10)/(8*$G$15*$F$8),"—"))</f>
        <v>0.55710778583119014</v>
      </c>
      <c r="F282" s="5">
        <f>IF($D$74&lt;=0,0,IF(ABS($F$74)/$D$74&lt;=$D$15/6+0.000001,$D$15,3*($D$15/2-ABS($F$74)/$D$74)))</f>
        <v>1.3</v>
      </c>
      <c r="G282" s="14">
        <f>IF($D$74&lt;=0,0,IF(ABS($F$74)/$D$74&lt;=$D$15/6+0.000001,$D$74/($D$15*$C$15)*(1+6*ABS($F$74)/$D$74/$D$15),2*$D$74/($C$15*$F$282)))</f>
        <v>73.451160673645873</v>
      </c>
      <c r="H282" s="3">
        <f>IF($D$74&lt;=0,0,$C$15*($G$282*(($D$15/2-0.35*$C$10)*MIN(($D$15/2-0.35*$C$10),$F$282)-MIN(($D$15/2-0.35*$C$10),$F$282)^2/2)-IF(ABS($F$74)/$D$74&lt;=$D$15/6+0.000001,12*$D$74*ABS($F$74)/$D$74/($C$15*$D$15^3),$G$282/$F$282)*(($D$15/2-0.35*$C$10)*MIN(($D$15/2-0.35*$C$10),$F$282)^2/2-MIN(($D$15/2-0.35*$C$10),$F$282)^3/3)))-1*($E$6*$E$15+$I$6*MAX($G$6-$E$15,0))*$C$15*($D$15/2-0.35*$C$10)^2/2</f>
        <v>6.7640254000910334</v>
      </c>
      <c r="I282" s="15">
        <f>MAX($H$282,0)/($C$15*$G$15^2*$I$8*1000)</f>
        <v>2.7145159212498835E-3</v>
      </c>
      <c r="J282" s="3">
        <f>IF($H$282&lt;=0,0,IF($I$282&gt;=0.5,"μ ≥ 0,5",10*$H$282/($G$15*(1-0.4*1.25*(1-SQRT(1-2*$I$282)))*$F$8)))</f>
        <v>0.51468320159429515</v>
      </c>
      <c r="K282" s="10">
        <f>MAX(N($E$282),N($J$282))</f>
        <v>0.55710778583119014</v>
      </c>
    </row>
    <row r="283" spans="2:11" x14ac:dyDescent="0.25">
      <c r="B283" s="7" t="s">
        <v>80</v>
      </c>
      <c r="C283" s="3">
        <f>$E$40+1*$F$51</f>
        <v>53.400000000000006</v>
      </c>
      <c r="D283" s="5">
        <f>IF($C$283&gt;0,ABS($F$75)/$C$283,"—")</f>
        <v>9.5505617977528073E-2</v>
      </c>
      <c r="E283" s="3">
        <f>IF($C$283&lt;=0,"—",IF($D$283&lt;=$D$15/6+0.000001,10*$C$283*(1+3*$D$283/$D$15)*($D$15-$C$10)/(8*$G$15*$F$8),"—"))</f>
        <v>0.55710778583119014</v>
      </c>
      <c r="F283" s="5">
        <f>IF($D$75&lt;=0,0,IF(ABS($F$75)/$D$75&lt;=$D$15/6+0.000001,$D$15,3*($D$15/2-ABS($F$75)/$D$75)))</f>
        <v>1.3</v>
      </c>
      <c r="G283" s="14">
        <f>IF($D$75&lt;=0,0,IF(ABS($F$75)/$D$75&lt;=$D$15/6+0.000001,$D$75/($D$15*$C$15)*(1+6*ABS($F$75)/$D$75/$D$15),2*$D$75/($C$15*$F$283)))</f>
        <v>73.451160673645873</v>
      </c>
      <c r="H283" s="3">
        <f>IF($D$75&lt;=0,0,$C$15*($G$283*(($D$15/2-0.35*$C$10)*MIN(($D$15/2-0.35*$C$10),$F$283)-MIN(($D$15/2-0.35*$C$10),$F$283)^2/2)-IF(ABS($F$75)/$D$75&lt;=$D$15/6+0.000001,12*$D$75*ABS($F$75)/$D$75/($C$15*$D$15^3),$G$283/$F$283)*(($D$15/2-0.35*$C$10)*MIN(($D$15/2-0.35*$C$10),$F$283)^2/2-MIN(($D$15/2-0.35*$C$10),$F$283)^3/3)))-1*($E$6*$E$15+$I$6*MAX($G$6-$E$15,0))*$C$15*($D$15/2-0.35*$C$10)^2/2</f>
        <v>6.7640254000910334</v>
      </c>
      <c r="I283" s="15">
        <f>MAX($H$283,0)/($C$15*$G$15^2*$I$8*1000)</f>
        <v>2.7145159212498835E-3</v>
      </c>
      <c r="J283" s="3">
        <f>IF($H$283&lt;=0,0,IF($I$283&gt;=0.5,"μ ≥ 0,5",10*$H$283/($G$15*(1-0.4*1.25*(1-SQRT(1-2*$I$283)))*$F$8)))</f>
        <v>0.51468320159429515</v>
      </c>
      <c r="K283" s="10">
        <f>MAX(N($E$283),N($J$283))</f>
        <v>0.55710778583119014</v>
      </c>
    </row>
    <row r="284" spans="2:11" x14ac:dyDescent="0.25">
      <c r="B284" s="7" t="s">
        <v>81</v>
      </c>
      <c r="C284" s="3">
        <f>$E$41+1*$F$51</f>
        <v>45.84</v>
      </c>
      <c r="D284" s="5">
        <f>IF($C$284&gt;0,ABS($F$76)/$C$284,"—")</f>
        <v>0.11125654450261778</v>
      </c>
      <c r="E284" s="3">
        <f>IF($C$284&lt;=0,"—",IF($D$284&lt;=$D$15/6+0.000001,10*$C$284*(1+3*$D$284/$D$15)*($D$15-$C$10)/(8*$G$15*$F$8),"—"))</f>
        <v>0.49248012625672194</v>
      </c>
      <c r="F284" s="5">
        <f>IF($D$76&lt;=0,0,IF(ABS($F$76)/$D$76&lt;=$D$15/6+0.000001,$D$15,3*($D$15/2-ABS($F$76)/$D$76)))</f>
        <v>1.3</v>
      </c>
      <c r="G284" s="14">
        <f>IF($D$76&lt;=0,0,IF(ABS($F$76)/$D$76&lt;=$D$15/6+0.000001,$D$76/($D$15*$C$15)*(1+6*ABS($F$76)/$D$76/$D$15),2*$D$76/($C$15*$F$284)))</f>
        <v>68.977787892580793</v>
      </c>
      <c r="H284" s="3">
        <f>IF($D$76&lt;=0,0,$C$15*($G$284*(($D$15/2-0.35*$C$10)*MIN(($D$15/2-0.35*$C$10),$F$284)-MIN(($D$15/2-0.35*$C$10),$F$284)^2/2)-IF(ABS($F$76)/$D$76&lt;=$D$15/6+0.000001,12*$D$76*ABS($F$76)/$D$76/($C$15*$D$15^3),$G$284/$F$284)*(($D$15/2-0.35*$C$10)*MIN(($D$15/2-0.35*$C$10),$F$284)^2/2-MIN(($D$15/2-0.35*$C$10),$F$284)^3/3)))-1*($E$6*$E$15+$I$6*MAX($G$6-$E$15,0))*$C$15*($D$15/2-0.35*$C$10)^2/2</f>
        <v>6.0077346308602637</v>
      </c>
      <c r="I284" s="15">
        <f>MAX($H$284,0)/($C$15*$G$15^2*$I$8*1000)</f>
        <v>2.4110038536956108E-3</v>
      </c>
      <c r="J284" s="3">
        <f>IF($H$284&lt;=0,0,IF($I$284&gt;=0.5,"μ ≥ 0,5",10*$H$284/($G$15*(1-0.4*1.25*(1-SQRT(1-2*$I$284)))*$F$8)))</f>
        <v>0.45706644989630107</v>
      </c>
      <c r="K284" s="10">
        <f>MAX(N($E$284),N($J$284))</f>
        <v>0.49248012625672194</v>
      </c>
    </row>
    <row r="285" spans="2:11" x14ac:dyDescent="0.25">
      <c r="B285" s="7" t="s">
        <v>82</v>
      </c>
      <c r="C285" s="3">
        <f>$E$42+1*$F$51</f>
        <v>45.84</v>
      </c>
      <c r="D285" s="5">
        <f>IF($C$285&gt;0,ABS($F$77)/$C$285,"—")</f>
        <v>0.11125654450261778</v>
      </c>
      <c r="E285" s="3">
        <f>IF($C$285&lt;=0,"—",IF($D$285&lt;=$D$15/6+0.000001,10*$C$285*(1+3*$D$285/$D$15)*($D$15-$C$10)/(8*$G$15*$F$8),"—"))</f>
        <v>0.49248012625672194</v>
      </c>
      <c r="F285" s="5">
        <f>IF($D$77&lt;=0,0,IF(ABS($F$77)/$D$77&lt;=$D$15/6+0.000001,$D$15,3*($D$15/2-ABS($F$77)/$D$77)))</f>
        <v>1.3</v>
      </c>
      <c r="G285" s="14">
        <f>IF($D$77&lt;=0,0,IF(ABS($F$77)/$D$77&lt;=$D$15/6+0.000001,$D$77/($D$15*$C$15)*(1+6*ABS($F$77)/$D$77/$D$15),2*$D$77/($C$15*$F$285)))</f>
        <v>68.977787892580793</v>
      </c>
      <c r="H285" s="3">
        <f>IF($D$77&lt;=0,0,$C$15*($G$285*(($D$15/2-0.35*$C$10)*MIN(($D$15/2-0.35*$C$10),$F$285)-MIN(($D$15/2-0.35*$C$10),$F$285)^2/2)-IF(ABS($F$77)/$D$77&lt;=$D$15/6+0.000001,12*$D$77*ABS($F$77)/$D$77/($C$15*$D$15^3),$G$285/$F$285)*(($D$15/2-0.35*$C$10)*MIN(($D$15/2-0.35*$C$10),$F$285)^2/2-MIN(($D$15/2-0.35*$C$10),$F$285)^3/3)))-1*($E$6*$E$15+$I$6*MAX($G$6-$E$15,0))*$C$15*($D$15/2-0.35*$C$10)^2/2</f>
        <v>6.0077346308602637</v>
      </c>
      <c r="I285" s="15">
        <f>MAX($H$285,0)/($C$15*$G$15^2*$I$8*1000)</f>
        <v>2.4110038536956108E-3</v>
      </c>
      <c r="J285" s="3">
        <f>IF($H$285&lt;=0,0,IF($I$285&gt;=0.5,"μ ≥ 0,5",10*$H$285/($G$15*(1-0.4*1.25*(1-SQRT(1-2*$I$285)))*$F$8)))</f>
        <v>0.45706644989630107</v>
      </c>
      <c r="K285" s="10">
        <f>MAX(N($E$285),N($J$285))</f>
        <v>0.49248012625672194</v>
      </c>
    </row>
    <row r="286" spans="2:11" x14ac:dyDescent="0.25">
      <c r="B286" s="7" t="s">
        <v>83</v>
      </c>
      <c r="C286" s="3">
        <f>$E$43+1*$F$51</f>
        <v>31.8</v>
      </c>
      <c r="D286" s="5">
        <f>IF($C$286&gt;0,ABS($F$78)/$C$286,"—")</f>
        <v>0.16037735849056603</v>
      </c>
      <c r="E286" s="3">
        <f>IF($C$286&lt;=0,"—",IF($D$286&lt;=$D$15/6+0.000001,10*$C$286*(1+3*$D$286/$D$15)*($D$15-$C$10)/(8*$G$15*$F$8),"—"))</f>
        <v>0.37245732990413838</v>
      </c>
      <c r="F286" s="5">
        <f>IF($D$78&lt;=0,0,IF(ABS($F$78)/$D$78&lt;=$D$15/6+0.000001,$D$15,3*($D$15/2-ABS($F$78)/$D$78)))</f>
        <v>1.3</v>
      </c>
      <c r="G286" s="14">
        <f>IF($D$78&lt;=0,0,IF(ABS($F$78)/$D$78&lt;=$D$15/6+0.000001,$D$78/($D$15*$C$15)*(1+6*ABS($F$78)/$D$78/$D$15),2*$D$78/($C$15*$F$286)))</f>
        <v>60.670095584888472</v>
      </c>
      <c r="H286" s="3">
        <f>IF($D$78&lt;=0,0,$C$15*($G$286*(($D$15/2-0.35*$C$10)*MIN(($D$15/2-0.35*$C$10),$F$286)-MIN(($D$15/2-0.35*$C$10),$F$286)^2/2)-IF(ABS($F$78)/$D$78&lt;=$D$15/6+0.000001,12*$D$78*ABS($F$78)/$D$78/($C$15*$D$15^3),$G$286/$F$286)*(($D$15/2-0.35*$C$10)*MIN(($D$15/2-0.35*$C$10),$F$286)^2/2-MIN(($D$15/2-0.35*$C$10),$F$286)^3/3)))-1*($E$6*$E$15+$I$6*MAX($G$6-$E$15,0))*$C$15*($D$15/2-0.35*$C$10)^2/2</f>
        <v>4.6031946308602629</v>
      </c>
      <c r="I286" s="15">
        <f>MAX($H$286,0)/($C$15*$G$15^2*$I$8*1000)</f>
        <v>1.8473385853805331E-3</v>
      </c>
      <c r="J286" s="3">
        <f>IF($H$286&lt;=0,0,IF($I$286&gt;=0.5,"μ ≥ 0,5",10*$H$286/($G$15*(1-0.4*1.25*(1-SQRT(1-2*$I$286)))*$F$8)))</f>
        <v>0.35011051163696139</v>
      </c>
      <c r="K286" s="10">
        <f>MAX(N($E$286),N($J$286))</f>
        <v>0.37245732990413838</v>
      </c>
    </row>
    <row r="287" spans="2:11" x14ac:dyDescent="0.25">
      <c r="B287" s="7" t="s">
        <v>84</v>
      </c>
      <c r="C287" s="3">
        <f>$E$44+1*$F$51</f>
        <v>31.8</v>
      </c>
      <c r="D287" s="5">
        <f>IF($C$287&gt;0,ABS($F$79)/$C$287,"—")</f>
        <v>0.16037735849056603</v>
      </c>
      <c r="E287" s="3">
        <f>IF($C$287&lt;=0,"—",IF($D$287&lt;=$D$15/6+0.000001,10*$C$287*(1+3*$D$287/$D$15)*($D$15-$C$10)/(8*$G$15*$F$8),"—"))</f>
        <v>0.37245732990413838</v>
      </c>
      <c r="F287" s="5">
        <f>IF($D$79&lt;=0,0,IF(ABS($F$79)/$D$79&lt;=$D$15/6+0.000001,$D$15,3*($D$15/2-ABS($F$79)/$D$79)))</f>
        <v>1.3</v>
      </c>
      <c r="G287" s="14">
        <f>IF($D$79&lt;=0,0,IF(ABS($F$79)/$D$79&lt;=$D$15/6+0.000001,$D$79/($D$15*$C$15)*(1+6*ABS($F$79)/$D$79/$D$15),2*$D$79/($C$15*$F$287)))</f>
        <v>60.670095584888472</v>
      </c>
      <c r="H287" s="3">
        <f>IF($D$79&lt;=0,0,$C$15*($G$287*(($D$15/2-0.35*$C$10)*MIN(($D$15/2-0.35*$C$10),$F$287)-MIN(($D$15/2-0.35*$C$10),$F$287)^2/2)-IF(ABS($F$79)/$D$79&lt;=$D$15/6+0.000001,12*$D$79*ABS($F$79)/$D$79/($C$15*$D$15^3),$G$287/$F$287)*(($D$15/2-0.35*$C$10)*MIN(($D$15/2-0.35*$C$10),$F$287)^2/2-MIN(($D$15/2-0.35*$C$10),$F$287)^3/3)))-1*($E$6*$E$15+$I$6*MAX($G$6-$E$15,0))*$C$15*($D$15/2-0.35*$C$10)^2/2</f>
        <v>4.6031946308602629</v>
      </c>
      <c r="I287" s="15">
        <f>MAX($H$287,0)/($C$15*$G$15^2*$I$8*1000)</f>
        <v>1.8473385853805331E-3</v>
      </c>
      <c r="J287" s="3">
        <f>IF($H$287&lt;=0,0,IF($I$287&gt;=0.5,"μ ≥ 0,5",10*$H$287/($G$15*(1-0.4*1.25*(1-SQRT(1-2*$I$287)))*$F$8)))</f>
        <v>0.35011051163696139</v>
      </c>
      <c r="K287" s="10">
        <f>MAX(N($E$287),N($J$287))</f>
        <v>0.37245732990413838</v>
      </c>
    </row>
    <row r="288" spans="2:11" x14ac:dyDescent="0.25">
      <c r="B288" s="7" t="s">
        <v>85</v>
      </c>
      <c r="C288" s="3">
        <f>$E$45+1*$F$51</f>
        <v>39.36</v>
      </c>
      <c r="D288" s="5">
        <f>IF($C$288&gt;0,ABS($F$80)/$C$288,"—")</f>
        <v>0.12957317073170732</v>
      </c>
      <c r="E288" s="3">
        <f>IF($C$288&lt;=0,"—",IF($D$288&lt;=$D$15/6+0.000001,10*$C$288*(1+3*$D$288/$D$15)*($D$15-$C$10)/(8*$G$15*$F$8),"—"))</f>
        <v>0.43708498947860652</v>
      </c>
      <c r="F288" s="5">
        <f>IF($D$80&lt;=0,0,IF(ABS($F$80)/$D$80&lt;=$D$15/6+0.000001,$D$15,3*($D$15/2-ABS($F$80)/$D$80)))</f>
        <v>1.3</v>
      </c>
      <c r="G288" s="14">
        <f>IF($D$80&lt;=0,0,IF(ABS($F$80)/$D$80&lt;=$D$15/6+0.000001,$D$80/($D$15*$C$15)*(1+6*ABS($F$80)/$D$80/$D$15),2*$D$80/($C$15*$F$288)))</f>
        <v>65.143468365953566</v>
      </c>
      <c r="H288" s="3">
        <f>IF($D$80&lt;=0,0,$C$15*($G$288*(($D$15/2-0.35*$C$10)*MIN(($D$15/2-0.35*$C$10),$F$288)-MIN(($D$15/2-0.35*$C$10),$F$288)^2/2)-IF(ABS($F$80)/$D$80&lt;=$D$15/6+0.000001,12*$D$80*ABS($F$80)/$D$80/($C$15*$D$15^3),$G$288/$F$288)*(($D$15/2-0.35*$C$10)*MIN(($D$15/2-0.35*$C$10),$F$288)^2/2-MIN(($D$15/2-0.35*$C$10),$F$288)^3/3)))-1*($E$6*$E$15+$I$6*MAX($G$6-$E$15,0))*$C$15*($D$15/2-0.35*$C$10)^2/2</f>
        <v>5.3594854000910326</v>
      </c>
      <c r="I288" s="15">
        <f>MAX($H$288,0)/($C$15*$G$15^2*$I$8*1000)</f>
        <v>2.1508506529348058E-3</v>
      </c>
      <c r="J288" s="3">
        <f>IF($H$288&lt;=0,0,IF($I$288&gt;=0.5,"μ ≥ 0,5",10*$H$288/($G$15*(1-0.4*1.25*(1-SQRT(1-2*$I$288)))*$F$8)))</f>
        <v>0.4076946471711439</v>
      </c>
      <c r="K288" s="10">
        <f>MAX(N($E$288),N($J$288))</f>
        <v>0.43708498947860652</v>
      </c>
    </row>
    <row r="289" spans="2:11" x14ac:dyDescent="0.25">
      <c r="B289" s="7" t="s">
        <v>86</v>
      </c>
      <c r="C289" s="3">
        <f>$E$46+1*$F$51</f>
        <v>39.36</v>
      </c>
      <c r="D289" s="5">
        <f>IF($C$289&gt;0,ABS($F$81)/$C$289,"—")</f>
        <v>0.12957317073170732</v>
      </c>
      <c r="E289" s="3">
        <f>IF($C$289&lt;=0,"—",IF($D$289&lt;=$D$15/6+0.000001,10*$C$289*(1+3*$D$289/$D$15)*($D$15-$C$10)/(8*$G$15*$F$8),"—"))</f>
        <v>0.43708498947860652</v>
      </c>
      <c r="F289" s="5">
        <f>IF($D$81&lt;=0,0,IF(ABS($F$81)/$D$81&lt;=$D$15/6+0.000001,$D$15,3*($D$15/2-ABS($F$81)/$D$81)))</f>
        <v>1.3</v>
      </c>
      <c r="G289" s="14">
        <f>IF($D$81&lt;=0,0,IF(ABS($F$81)/$D$81&lt;=$D$15/6+0.000001,$D$81/($D$15*$C$15)*(1+6*ABS($F$81)/$D$81/$D$15),2*$D$81/($C$15*$F$289)))</f>
        <v>65.143468365953566</v>
      </c>
      <c r="H289" s="3">
        <f>IF($D$81&lt;=0,0,$C$15*($G$289*(($D$15/2-0.35*$C$10)*MIN(($D$15/2-0.35*$C$10),$F$289)-MIN(($D$15/2-0.35*$C$10),$F$289)^2/2)-IF(ABS($F$81)/$D$81&lt;=$D$15/6+0.000001,12*$D$81*ABS($F$81)/$D$81/($C$15*$D$15^3),$G$289/$F$289)*(($D$15/2-0.35*$C$10)*MIN(($D$15/2-0.35*$C$10),$F$289)^2/2-MIN(($D$15/2-0.35*$C$10),$F$289)^3/3)))-1*($E$6*$E$15+$I$6*MAX($G$6-$E$15,0))*$C$15*($D$15/2-0.35*$C$10)^2/2</f>
        <v>5.3594854000910326</v>
      </c>
      <c r="I289" s="15">
        <f>MAX($H$289,0)/($C$15*$G$15^2*$I$8*1000)</f>
        <v>2.1508506529348058E-3</v>
      </c>
      <c r="J289" s="3">
        <f>IF($H$289&lt;=0,0,IF($I$289&gt;=0.5,"μ ≥ 0,5",10*$H$289/($G$15*(1-0.4*1.25*(1-SQRT(1-2*$I$289)))*$F$8)))</f>
        <v>0.4076946471711439</v>
      </c>
      <c r="K289" s="10">
        <f>MAX(N($E$289),N($J$289))</f>
        <v>0.43708498947860652</v>
      </c>
    </row>
    <row r="291" spans="2:11" ht="20.100000000000001" customHeight="1" x14ac:dyDescent="0.25">
      <c r="B291" s="2" t="s">
        <v>157</v>
      </c>
      <c r="C291" s="23" t="s">
        <v>89</v>
      </c>
      <c r="D291" s="24"/>
      <c r="E291" s="25"/>
      <c r="F291" s="2" t="s">
        <v>158</v>
      </c>
      <c r="G291" s="2" t="s">
        <v>40</v>
      </c>
    </row>
    <row r="292" spans="2:11" x14ac:dyDescent="0.25">
      <c r="B292" s="16" t="s">
        <v>159</v>
      </c>
      <c r="C292" s="22" t="s">
        <v>160</v>
      </c>
      <c r="D292" s="19"/>
      <c r="E292" s="19"/>
      <c r="F292" s="3">
        <f>MAX($K$266:$K$289)</f>
        <v>1.0170042756789863</v>
      </c>
      <c r="G292" s="6"/>
    </row>
    <row r="293" spans="2:11" x14ac:dyDescent="0.25">
      <c r="B293" s="16" t="s">
        <v>161</v>
      </c>
      <c r="C293" s="22" t="s">
        <v>178</v>
      </c>
      <c r="D293" s="19"/>
      <c r="E293" s="19"/>
      <c r="F293" s="3">
        <f>0.23*$C$15*$G$15*$D$6/$B$6*10000</f>
        <v>5.1644775000000012</v>
      </c>
      <c r="G293" s="6"/>
    </row>
    <row r="294" spans="2:11" x14ac:dyDescent="0.25">
      <c r="B294" s="16" t="s">
        <v>163</v>
      </c>
      <c r="C294" s="22" t="s">
        <v>164</v>
      </c>
      <c r="D294" s="19"/>
      <c r="E294" s="19"/>
      <c r="F294" s="10">
        <f>MAX($F$292,$F$293)</f>
        <v>5.1644775000000012</v>
      </c>
      <c r="G294" s="6"/>
    </row>
    <row r="295" spans="2:11" x14ac:dyDescent="0.25">
      <c r="B295" s="16" t="s">
        <v>165</v>
      </c>
      <c r="C295" s="22" t="s">
        <v>166</v>
      </c>
      <c r="D295" s="19"/>
      <c r="E295" s="19"/>
      <c r="F295" s="17">
        <v>12</v>
      </c>
      <c r="G295" s="6"/>
    </row>
    <row r="296" spans="2:11" x14ac:dyDescent="0.25">
      <c r="B296" s="16" t="s">
        <v>167</v>
      </c>
      <c r="C296" s="22" t="s">
        <v>166</v>
      </c>
      <c r="D296" s="19"/>
      <c r="E296" s="19"/>
      <c r="F296" s="8">
        <v>0.24</v>
      </c>
      <c r="G296" s="6"/>
    </row>
    <row r="297" spans="2:11" x14ac:dyDescent="0.25">
      <c r="B297" s="16" t="s">
        <v>168</v>
      </c>
      <c r="C297" s="22" t="s">
        <v>179</v>
      </c>
      <c r="D297" s="19"/>
      <c r="E297" s="19"/>
      <c r="F297" s="4">
        <f>MAX(CEILING(($C$15-2*$F$6)/$F$296-0.000000001,1)+1,2)</f>
        <v>6</v>
      </c>
      <c r="G297" s="6"/>
    </row>
    <row r="298" spans="2:11" ht="15.75" x14ac:dyDescent="0.25">
      <c r="B298" s="16" t="s">
        <v>170</v>
      </c>
      <c r="C298" s="22" t="s">
        <v>171</v>
      </c>
      <c r="D298" s="19"/>
      <c r="E298" s="19"/>
      <c r="F298" s="10">
        <f>$F$297*PI()*$F$295^2/400</f>
        <v>6.785840131753953</v>
      </c>
      <c r="G298" s="9" t="str">
        <f>IF($F$298&gt;=$F$294-0.0001,"OK","NON OK")</f>
        <v>OK</v>
      </c>
    </row>
    <row r="299" spans="2:11" ht="15.75" x14ac:dyDescent="0.25">
      <c r="B299" s="16" t="s">
        <v>172</v>
      </c>
      <c r="C299" s="22" t="s">
        <v>173</v>
      </c>
      <c r="D299" s="19"/>
      <c r="E299" s="19"/>
      <c r="F299" s="3">
        <f>MIN(2*$E$15,0.25)</f>
        <v>0.25</v>
      </c>
      <c r="G299" s="9" t="str">
        <f>IF($F$296&lt;=$F$299+0.0001,"OK","NON OK")</f>
        <v>OK</v>
      </c>
    </row>
    <row r="300" spans="2:11" x14ac:dyDescent="0.25">
      <c r="B300" s="11" t="s">
        <v>180</v>
      </c>
      <c r="C300" s="26" t="str">
        <f>$F$297&amp;" HA"&amp;$F$295&amp;"  e = "&amp;TEXT($F$296*100,"0")&amp;" cm  (As = "&amp;TEXT($F$298,"0.00")&amp;" cm²)"</f>
        <v>6 HA12  e = 24 cm  (As = 6.79 cm²)</v>
      </c>
      <c r="D300" s="27"/>
      <c r="E300" s="27"/>
      <c r="F300" s="27"/>
      <c r="G300" s="27"/>
    </row>
    <row r="302" spans="2:11" ht="30" customHeight="1" x14ac:dyDescent="0.25">
      <c r="B302" s="1" t="s">
        <v>182</v>
      </c>
      <c r="C302" s="26" t="str">
        <f>IF(COUNTIF($B$4:$K$301,"NON OK")=0,"SEMELLE VÉRIFIÉE","SEMELLE NON VÉRIFIÉE")&amp;" : A × B × H = "&amp;TEXT($C$15,"0.00")&amp;" × "&amp;TEXT($D$15,"0.00")&amp;" × "&amp;TEXT($E$15,"0.00")&amp;" m ; // A : "&amp;$F$256&amp;" HA"&amp;$F$254&amp;" e = "&amp;TEXT($F$255*100,"0")&amp;" cm"&amp;" ; // B : "&amp;$F$297&amp;" HA"&amp;$F$295&amp;" e = "&amp;TEXT($F$296*100,"0")&amp;" cm"</f>
        <v>SEMELLE VÉRIFIÉE : A × B × H = 1.30 × 1.30 × 0.40 m ; // A : 6 HA12 e = 24 cm ; // B : 6 HA12 e = 24 cm</v>
      </c>
      <c r="D302" s="27"/>
      <c r="E302" s="27"/>
      <c r="F302" s="27"/>
      <c r="G302" s="27"/>
      <c r="H302" s="27"/>
      <c r="I302" s="27"/>
      <c r="J302" s="27"/>
      <c r="K302" s="27"/>
    </row>
  </sheetData>
  <mergeCells count="54">
    <mergeCell ref="B1:K1"/>
    <mergeCell ref="C294:E294"/>
    <mergeCell ref="B17:K17"/>
    <mergeCell ref="C250:E250"/>
    <mergeCell ref="B196:K196"/>
    <mergeCell ref="B112:K112"/>
    <mergeCell ref="C256:E256"/>
    <mergeCell ref="C300:G300"/>
    <mergeCell ref="B48:K48"/>
    <mergeCell ref="B2:K2"/>
    <mergeCell ref="B111:K111"/>
    <mergeCell ref="B195:K195"/>
    <mergeCell ref="B262:K262"/>
    <mergeCell ref="C299:E299"/>
    <mergeCell ref="B200:K200"/>
    <mergeCell ref="C253:E253"/>
    <mergeCell ref="C296:E296"/>
    <mergeCell ref="C292:E292"/>
    <mergeCell ref="B264:K264"/>
    <mergeCell ref="C293:E293"/>
    <mergeCell ref="B223:K223"/>
    <mergeCell ref="C258:E258"/>
    <mergeCell ref="C254:E254"/>
    <mergeCell ref="B263:K263"/>
    <mergeCell ref="C298:E298"/>
    <mergeCell ref="C295:E295"/>
    <mergeCell ref="C297:E297"/>
    <mergeCell ref="C251:E251"/>
    <mergeCell ref="B4:K4"/>
    <mergeCell ref="C52:E52"/>
    <mergeCell ref="B221:K221"/>
    <mergeCell ref="B140:K140"/>
    <mergeCell ref="C53:E53"/>
    <mergeCell ref="B56:K56"/>
    <mergeCell ref="B167:K167"/>
    <mergeCell ref="B21:K21"/>
    <mergeCell ref="C49:E49"/>
    <mergeCell ref="B12:K12"/>
    <mergeCell ref="C302:K302"/>
    <mergeCell ref="C50:E50"/>
    <mergeCell ref="B168:K168"/>
    <mergeCell ref="B84:K84"/>
    <mergeCell ref="C255:E255"/>
    <mergeCell ref="B260:K260"/>
    <mergeCell ref="C291:E291"/>
    <mergeCell ref="B201:K201"/>
    <mergeCell ref="B83:K83"/>
    <mergeCell ref="B139:K139"/>
    <mergeCell ref="C252:E252"/>
    <mergeCell ref="B55:K55"/>
    <mergeCell ref="C257:E257"/>
    <mergeCell ref="B222:K222"/>
    <mergeCell ref="C259:G259"/>
    <mergeCell ref="C51:E51"/>
  </mergeCells>
  <conditionalFormatting sqref="B4:K302">
    <cfRule type="cellIs" dxfId="37" priority="37" operator="equal">
      <formula>"NON OK"</formula>
    </cfRule>
  </conditionalFormatting>
  <conditionalFormatting sqref="C302">
    <cfRule type="expression" dxfId="36" priority="38">
      <formula>COUNTIF($B$4:$K$301,"NON OK")&gt;0</formula>
    </cfRule>
  </conditionalFormatting>
  <conditionalFormatting sqref="I225">
    <cfRule type="expression" dxfId="35" priority="1">
      <formula>$I$225&gt;$G$10</formula>
    </cfRule>
  </conditionalFormatting>
  <conditionalFormatting sqref="I226">
    <cfRule type="expression" dxfId="34" priority="2">
      <formula>$I$226&gt;$G$10</formula>
    </cfRule>
  </conditionalFormatting>
  <conditionalFormatting sqref="I227">
    <cfRule type="expression" dxfId="33" priority="3">
      <formula>$I$227&gt;$G$10</formula>
    </cfRule>
  </conditionalFormatting>
  <conditionalFormatting sqref="I228">
    <cfRule type="expression" dxfId="32" priority="4">
      <formula>$I$228&gt;$G$10</formula>
    </cfRule>
  </conditionalFormatting>
  <conditionalFormatting sqref="I229">
    <cfRule type="expression" dxfId="31" priority="5">
      <formula>$I$229&gt;$G$10</formula>
    </cfRule>
  </conditionalFormatting>
  <conditionalFormatting sqref="I230">
    <cfRule type="expression" dxfId="30" priority="6">
      <formula>$I$230&gt;$G$10</formula>
    </cfRule>
  </conditionalFormatting>
  <conditionalFormatting sqref="I231">
    <cfRule type="expression" dxfId="29" priority="7">
      <formula>$I$231&gt;$G$10</formula>
    </cfRule>
  </conditionalFormatting>
  <conditionalFormatting sqref="I232">
    <cfRule type="expression" dxfId="28" priority="8">
      <formula>$I$232&gt;$G$10</formula>
    </cfRule>
  </conditionalFormatting>
  <conditionalFormatting sqref="I233">
    <cfRule type="expression" dxfId="27" priority="9">
      <formula>$I$233&gt;$G$10</formula>
    </cfRule>
  </conditionalFormatting>
  <conditionalFormatting sqref="I234">
    <cfRule type="expression" dxfId="26" priority="10">
      <formula>$I$234&gt;$G$10</formula>
    </cfRule>
  </conditionalFormatting>
  <conditionalFormatting sqref="I241">
    <cfRule type="expression" dxfId="25" priority="11">
      <formula>$I$241&gt;$H$10</formula>
    </cfRule>
  </conditionalFormatting>
  <conditionalFormatting sqref="I242">
    <cfRule type="expression" dxfId="24" priority="12">
      <formula>$I$242&gt;$H$10</formula>
    </cfRule>
  </conditionalFormatting>
  <conditionalFormatting sqref="I243">
    <cfRule type="expression" dxfId="23" priority="13">
      <formula>$I$243&gt;$H$10</formula>
    </cfRule>
  </conditionalFormatting>
  <conditionalFormatting sqref="I244">
    <cfRule type="expression" dxfId="22" priority="14">
      <formula>$I$244&gt;$H$10</formula>
    </cfRule>
  </conditionalFormatting>
  <conditionalFormatting sqref="I245">
    <cfRule type="expression" dxfId="21" priority="15">
      <formula>$I$245&gt;$H$10</formula>
    </cfRule>
  </conditionalFormatting>
  <conditionalFormatting sqref="I246">
    <cfRule type="expression" dxfId="20" priority="16">
      <formula>$I$246&gt;$H$10</formula>
    </cfRule>
  </conditionalFormatting>
  <conditionalFormatting sqref="I247">
    <cfRule type="expression" dxfId="19" priority="17">
      <formula>$I$247&gt;$H$10</formula>
    </cfRule>
  </conditionalFormatting>
  <conditionalFormatting sqref="I248">
    <cfRule type="expression" dxfId="18" priority="18">
      <formula>$I$248&gt;$H$10</formula>
    </cfRule>
  </conditionalFormatting>
  <conditionalFormatting sqref="I266">
    <cfRule type="expression" dxfId="17" priority="19">
      <formula>$I$266&gt;$G$10</formula>
    </cfRule>
  </conditionalFormatting>
  <conditionalFormatting sqref="I267">
    <cfRule type="expression" dxfId="16" priority="20">
      <formula>$I$267&gt;$G$10</formula>
    </cfRule>
  </conditionalFormatting>
  <conditionalFormatting sqref="I268">
    <cfRule type="expression" dxfId="15" priority="21">
      <formula>$I$268&gt;$G$10</formula>
    </cfRule>
  </conditionalFormatting>
  <conditionalFormatting sqref="I269">
    <cfRule type="expression" dxfId="14" priority="22">
      <formula>$I$269&gt;$G$10</formula>
    </cfRule>
  </conditionalFormatting>
  <conditionalFormatting sqref="I270">
    <cfRule type="expression" dxfId="13" priority="23">
      <formula>$I$270&gt;$G$10</formula>
    </cfRule>
  </conditionalFormatting>
  <conditionalFormatting sqref="I271">
    <cfRule type="expression" dxfId="12" priority="24">
      <formula>$I$271&gt;$G$10</formula>
    </cfRule>
  </conditionalFormatting>
  <conditionalFormatting sqref="I272">
    <cfRule type="expression" dxfId="11" priority="25">
      <formula>$I$272&gt;$G$10</formula>
    </cfRule>
  </conditionalFormatting>
  <conditionalFormatting sqref="I273">
    <cfRule type="expression" dxfId="10" priority="26">
      <formula>$I$273&gt;$G$10</formula>
    </cfRule>
  </conditionalFormatting>
  <conditionalFormatting sqref="I274">
    <cfRule type="expression" dxfId="9" priority="27">
      <formula>$I$274&gt;$G$10</formula>
    </cfRule>
  </conditionalFormatting>
  <conditionalFormatting sqref="I275">
    <cfRule type="expression" dxfId="8" priority="28">
      <formula>$I$275&gt;$G$10</formula>
    </cfRule>
  </conditionalFormatting>
  <conditionalFormatting sqref="I282">
    <cfRule type="expression" dxfId="7" priority="29">
      <formula>$I$282&gt;$H$10</formula>
    </cfRule>
  </conditionalFormatting>
  <conditionalFormatting sqref="I283">
    <cfRule type="expression" dxfId="6" priority="30">
      <formula>$I$283&gt;$H$10</formula>
    </cfRule>
  </conditionalFormatting>
  <conditionalFormatting sqref="I284">
    <cfRule type="expression" dxfId="5" priority="31">
      <formula>$I$284&gt;$H$10</formula>
    </cfRule>
  </conditionalFormatting>
  <conditionalFormatting sqref="I285">
    <cfRule type="expression" dxfId="4" priority="32">
      <formula>$I$285&gt;$H$10</formula>
    </cfRule>
  </conditionalFormatting>
  <conditionalFormatting sqref="I286">
    <cfRule type="expression" dxfId="3" priority="33">
      <formula>$I$286&gt;$H$10</formula>
    </cfRule>
  </conditionalFormatting>
  <conditionalFormatting sqref="I287">
    <cfRule type="expression" dxfId="2" priority="34">
      <formula>$I$287&gt;$H$10</formula>
    </cfRule>
  </conditionalFormatting>
  <conditionalFormatting sqref="I288">
    <cfRule type="expression" dxfId="1" priority="35">
      <formula>$I$288&gt;$H$10</formula>
    </cfRule>
  </conditionalFormatting>
  <conditionalFormatting sqref="I289">
    <cfRule type="expression" dxfId="0" priority="36">
      <formula>$I$289&gt;$H$10</formula>
    </cfRule>
  </conditionalFormatting>
  <printOptions horizontalCentered="1"/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Semelle S1</vt:lpstr>
      <vt:lpstr>Semelle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 LASSAL</cp:lastModifiedBy>
  <dcterms:created xsi:type="dcterms:W3CDTF">2026-10-13T19:05:08Z</dcterms:created>
  <dcterms:modified xsi:type="dcterms:W3CDTF">2026-10-13T19:05:10Z</dcterms:modified>
</cp:coreProperties>
</file>